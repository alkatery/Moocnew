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تنفيذي" sheetId="1" state="visible" r:id="rId3"/>
    <sheet name="المعمارية التقنية" sheetId="2" state="visible" r:id="rId4"/>
    <sheet name="واجهة الطالب" sheetId="3" state="visible" r:id="rId5"/>
    <sheet name="واجهة المؤلف (Studio)" sheetId="4" state="visible" r:id="rId6"/>
    <sheet name="لوحة المعلم" sheetId="5" state="visible" r:id="rId7"/>
    <sheet name="الإدارة والتشغيل" sheetId="6" state="visible" r:id="rId8"/>
    <sheet name="الأسئلة والمكونات" sheetId="7" state="visible" r:id="rId9"/>
    <sheet name="التصميم وتجربة الاستخدام" sheetId="8" state="visible" r:id="rId10"/>
    <sheet name="تحسين محركات البحث (SEO)" sheetId="9" state="visible" r:id="rId11"/>
    <sheet name="المعايير العالمية" sheetId="10" state="visible" r:id="rId12"/>
    <sheet name="مصفوفة التقييم المرجعي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<sst xmlns="http://schemas.openxmlformats.org/spreadsheetml/2006/main" count="1197" uniqueCount="791">
  <si>
    <t xml:space="preserve">تحليل شامل لنظام Open edX — حصر الميزات والمعايير عبر طبقات الحسابات</t>
  </si>
  <si>
    <t xml:space="preserve">النطاق: Open edX مفتوح المصدر (أحدث إصدار Verawood يونيو 2026، يسبقه Ulmo يناير 2026). منصّة edX.org التجارية تستخدم نفس النواة مع طبقة تسويق منفصلة (Drupal) لتحسين SEO.</t>
  </si>
  <si>
    <t xml:space="preserve">نبذة</t>
  </si>
  <si>
    <t xml:space="preserve">Open edX منصّة تعلّم إلكتروني (MOOC) مفتوحة المصدر بالكامل، خادمها بلغة Python على إطار Django، وواجهاتها الحديثة تطبيقات React مستقلّة النشر (MFEs). تتألّف من: نظام إدارة التعلّم LMS (للمتعلّم)، واستوديو التأليف Studio/CMS (للمؤلّف)، ولوحة المعلّم داخل الـ LMS، وطبقة الإدارة (Django Admin + خدمات IDA). تُبنى المقررات من مكوّنات قابلة للتوسعة تُسمّى XBlocks، وتُمثَّل بصيغة OLX. تُنشر رسمياً عبر أداة Tutor (حاويات Docker).</t>
  </si>
  <si>
    <t xml:space="preserve">لوحة المؤشّرات (محسوبة آلياً من أوراق الحصر)</t>
  </si>
  <si>
    <t xml:space="preserve">الطبقة</t>
  </si>
  <si>
    <t xml:space="preserve">عدد الميزات المحصورة</t>
  </si>
  <si>
    <t xml:space="preserve">متوسط الأهمية</t>
  </si>
  <si>
    <t xml:space="preserve">متوسط النضج</t>
  </si>
  <si>
    <t xml:space="preserve">المرجع</t>
  </si>
  <si>
    <t xml:space="preserve">واجهة الطالب</t>
  </si>
  <si>
    <t xml:space="preserve">ورقة: واجهة الطالب</t>
  </si>
  <si>
    <t xml:space="preserve">واجهة المؤلّف (Studio)</t>
  </si>
  <si>
    <t xml:space="preserve">ورقة: واجهة المؤلّف (Studio)</t>
  </si>
  <si>
    <t xml:space="preserve">لوحة المعلّم</t>
  </si>
  <si>
    <t xml:space="preserve">ورقة: لوحة المعلّم</t>
  </si>
  <si>
    <t xml:space="preserve">الإدارة والتشغيل</t>
  </si>
  <si>
    <t xml:space="preserve">ورقة: الإدارة والتشغيل</t>
  </si>
  <si>
    <t xml:space="preserve">الإجمالي / المتوسط العام</t>
  </si>
  <si>
    <t xml:space="preserve">أبرز نقاط القوة</t>
  </si>
  <si>
    <t xml:space="preserve">• معمارية حديثة مفتوحة وقابلة للتوسعة: MFEs (React) + خدمات IDA + إطار XBlock + أحداث/مرشّحات للتوسعة دون تعديل النواة.</t>
  </si>
  <si>
    <t xml:space="preserve">• توافق قوي مع معايير التكامل: LTI 1.3 / LTI Advantage (شهادة Complete في Ulmo)، SCORM، xAPI، IMS Caliper.</t>
  </si>
  <si>
    <t xml:space="preserve">• استوديو تأليف مدمج غنيّ مع مكتبات محتوى قابلة لإعادة الاستخدام (v2 هيكلية) وتحليلات سياقية.</t>
  </si>
  <si>
    <t xml:space="preserve">• إمكانية وصول ملتزمة بـ WCAG 2.2 AA عبر نظام تصميم Paragon، وتدويل قوي (Atlas) ودعم RTL.</t>
  </si>
  <si>
    <t xml:space="preserve">• تحليلات تعلّم متقدّمة عبر Aspects (ClickHouse + Superset) ولوحات قابلة للدمج.</t>
  </si>
  <si>
    <t xml:space="preserve">أبرز الفجوات (مهمّة لمنصّتك)</t>
  </si>
  <si>
    <t xml:space="preserve">• SEO هو أضعف الجوانب: التصيير من العميل (CSR) في الـ MFEs يضعف الفهرسة، وغياب schema.org من النواة، ولا sitemap تلقائي للكتالوج. (عُولج جزئياً بصفحات المقرر الجديدة وCatalog MFE في 2026).</t>
  </si>
  <si>
    <t xml:space="preserve">• تعدّد المستأجرين وتخصيص الثيم يتطلّبان إعادة بناء الحاويات وقد يكونان مكلفين على نطاق واسع.</t>
  </si>
  <si>
    <t xml:space="preserve">• دعم RTL والعربية مدعوم لكنه يحتاج ضبطاً وثيماً لتجربة عربية متقنة (خط افتراضي/مواضع/اتجاه).</t>
  </si>
  <si>
    <t xml:space="preserve">• QTI وCommon Cartridge غير مدعومين أصلاً (الاعتماد على OLX)؛ وSCORM ليس نواةً بل XBlock يُثبَّت.</t>
  </si>
  <si>
    <t xml:space="preserve">• منحنى تعلّم أعلى للمؤلّف والمشغّل مقارنة بمنصّات أبسط.</t>
  </si>
  <si>
    <t xml:space="preserve">دليل الترميز</t>
  </si>
  <si>
    <t xml:space="preserve">مقياس الأهمية والنضج والتقييم من 1 (ضعيف/منخفض) إلى 5 (ممتاز/عالٍ). الأرقام تقديرات اجتهادية مبنية على إصدارات 2026، وهي مدخلات قابلة للتعديل. التلوين التدرّجي: أحمر (1) ← أصفر (3) ← أخضر (5).</t>
  </si>
  <si>
    <t xml:space="preserve">المعمارية والمنظومة التقنية لـ Open edX</t>
  </si>
  <si>
    <t xml:space="preserve">بنية: مونوليث معياري (Django/Python) + تطبيقات مستقلّة النشر IDAs + واجهات React (MFEs). كل المكوّنات مفتوحة المصدر.</t>
  </si>
  <si>
    <t xml:space="preserve">المكوّن</t>
  </si>
  <si>
    <t xml:space="preserve">النوع</t>
  </si>
  <si>
    <t xml:space="preserve">التقنية</t>
  </si>
  <si>
    <t xml:space="preserve">الوصف الوظيفي</t>
  </si>
  <si>
    <t xml:space="preserve">الطبقة المخدومة</t>
  </si>
  <si>
    <t xml:space="preserve">ملاحظات</t>
  </si>
  <si>
    <t xml:space="preserve">edx-platform (LMS)</t>
  </si>
  <si>
    <t xml:space="preserve">خدمة مركزية</t>
  </si>
  <si>
    <t xml:space="preserve">Python / Django</t>
  </si>
  <si>
    <t xml:space="preserve">خدمة تقديم التعلّم وتشغيل المقررات للمتعلّمين</t>
  </si>
  <si>
    <t xml:space="preserve">الطالب/المعلّم</t>
  </si>
  <si>
    <t xml:space="preserve">قلب المنصة (Modular Monolith)</t>
  </si>
  <si>
    <t xml:space="preserve">edx-platform (CMS/Studio)</t>
  </si>
  <si>
    <t xml:space="preserve">بيئة تأليف المقررات</t>
  </si>
  <si>
    <t xml:space="preserve">المؤلّف</t>
  </si>
  <si>
    <t xml:space="preserve">يكتب إلى نفس قاعدة المحتوى</t>
  </si>
  <si>
    <t xml:space="preserve">MFEs (frontend-app-*)</t>
  </si>
  <si>
    <t xml:space="preserve">واجهات أمامية</t>
  </si>
  <si>
    <t xml:space="preserve">React / JavaScript</t>
  </si>
  <si>
    <t xml:space="preserve">تطبيقات صغيرة مستقلّة النشر تقدّم معظم الواجهات الحديثة</t>
  </si>
  <si>
    <t xml:space="preserve">كل الطبقات</t>
  </si>
  <si>
    <t xml:space="preserve">نشر آمن وسريع مستقل</t>
  </si>
  <si>
    <t xml:space="preserve">frontend-platform</t>
  </si>
  <si>
    <t xml:space="preserve">إطار MFE</t>
  </si>
  <si>
    <t xml:space="preserve">JavaScript</t>
  </si>
  <si>
    <t xml:space="preserve">خدمات أساسية: المصادقة، السجلّات، التحليلات، i18n</t>
  </si>
  <si>
    <t xml:space="preserve">تقني</t>
  </si>
  <si>
    <t xml:space="preserve">مشترك بين كل الـ MFEs</t>
  </si>
  <si>
    <t xml:space="preserve">Paragon</t>
  </si>
  <si>
    <t xml:space="preserve">نظام تصميم</t>
  </si>
  <si>
    <t xml:space="preserve">React / SCSS (Bootstrap)</t>
  </si>
  <si>
    <t xml:space="preserve">مكتبة مكوّنات React متاحة الوصول + أساس SCSS + Design Tokens</t>
  </si>
  <si>
    <t xml:space="preserve">التصميم</t>
  </si>
  <si>
    <t xml:space="preserve">مرجع الاتساق البصري</t>
  </si>
  <si>
    <t xml:space="preserve">@openedx/brand (Indigo)</t>
  </si>
  <si>
    <t xml:space="preserve">حزمة هوية</t>
  </si>
  <si>
    <t xml:space="preserve">SCSS</t>
  </si>
  <si>
    <t xml:space="preserve">تخصيص الألوان والشعارات والثيم</t>
  </si>
  <si>
    <t xml:space="preserve">ثيم Indigo مبني عليها</t>
  </si>
  <si>
    <t xml:space="preserve">Module Federation + Slots</t>
  </si>
  <si>
    <t xml:space="preserve">تركيب الواجهات</t>
  </si>
  <si>
    <t xml:space="preserve">Webpack / JS</t>
  </si>
  <si>
    <t xml:space="preserve">مشاركة الاعتماديات وحقن مكوّنات مخصّصة في مناطق محدّدة</t>
  </si>
  <si>
    <t xml:space="preserve">OEP-65 + Slots (Sumac)</t>
  </si>
  <si>
    <t xml:space="preserve">course-discovery</t>
  </si>
  <si>
    <t xml:space="preserve">IDA</t>
  </si>
  <si>
    <t xml:space="preserve">مصدر موحّد لبيانات المقررات/البرامج/الكتالوجات والبحث</t>
  </si>
  <si>
    <t xml:space="preserve">الإدارة/الاكتشاف</t>
  </si>
  <si>
    <t xml:space="preserve">API داخلي وخارجي</t>
  </si>
  <si>
    <t xml:space="preserve">ecommerce / commerce</t>
  </si>
  <si>
    <t xml:space="preserve">التجارة الإلكترونية والكوبونات</t>
  </si>
  <si>
    <t xml:space="preserve">الإدارة</t>
  </si>
  <si>
    <t xml:space="preserve">يُستبدل تدريجياً</t>
  </si>
  <si>
    <t xml:space="preserve">credentials</t>
  </si>
  <si>
    <t xml:space="preserve">إصدار الشهادات وسجلات الإنجاز</t>
  </si>
  <si>
    <t xml:space="preserve">الإدارة/الطالب</t>
  </si>
  <si>
    <t xml:space="preserve">يدعم البرامج</t>
  </si>
  <si>
    <t xml:space="preserve">cs_comments_service (forum)</t>
  </si>
  <si>
    <t xml:space="preserve">خدمة</t>
  </si>
  <si>
    <t xml:space="preserve">Ruby / MongoDB</t>
  </si>
  <si>
    <t xml:space="preserve">خدمة منتديات النقاش</t>
  </si>
  <si>
    <t xml:space="preserve">الطالب</t>
  </si>
  <si>
    <t xml:space="preserve">backend للنقاش</t>
  </si>
  <si>
    <t xml:space="preserve">edx-notes-api</t>
  </si>
  <si>
    <t xml:space="preserve">تخزين ملاحظات وتظليلات المتعلّم</t>
  </si>
  <si>
    <t xml:space="preserve">—</t>
  </si>
  <si>
    <t xml:space="preserve">MongoDB (modulestore)</t>
  </si>
  <si>
    <t xml:space="preserve">قاعدة بيانات</t>
  </si>
  <si>
    <t xml:space="preserve">NoSQL</t>
  </si>
  <si>
    <t xml:space="preserve">تخزين بنية ومحتوى المقررات</t>
  </si>
  <si>
    <t xml:space="preserve">MySQL</t>
  </si>
  <si>
    <t xml:space="preserve">SQL</t>
  </si>
  <si>
    <t xml:space="preserve">المستخدمون والتسجيل والدرجات والإعدادات</t>
  </si>
  <si>
    <t xml:space="preserve">Meilisearch / Elasticsearch</t>
  </si>
  <si>
    <t xml:space="preserve">محرّك بحث</t>
  </si>
  <si>
    <t xml:space="preserve">فهرسة بحث الاستوديو والمحتوى والمكتبات</t>
  </si>
  <si>
    <t xml:space="preserve">Meilisearch منذ Sumac</t>
  </si>
  <si>
    <t xml:space="preserve">Redis / Memcached</t>
  </si>
  <si>
    <t xml:space="preserve">كاش وطابور</t>
  </si>
  <si>
    <t xml:space="preserve">الكاش والجلسات وحماية nonce لمزوّد LTI</t>
  </si>
  <si>
    <t xml:space="preserve">Celery</t>
  </si>
  <si>
    <t xml:space="preserve">مهام غير متزامنة</t>
  </si>
  <si>
    <t xml:space="preserve">Python</t>
  </si>
  <si>
    <t xml:space="preserve">التقارير والبريد وحساب الدرجات والفهرسة</t>
  </si>
  <si>
    <t xml:space="preserve">عمّال خلفية</t>
  </si>
  <si>
    <t xml:space="preserve">Aspects (ClickHouse+Superset)</t>
  </si>
  <si>
    <t xml:space="preserve">تحليلات</t>
  </si>
  <si>
    <t xml:space="preserve">ClickHouse / Superset</t>
  </si>
  <si>
    <t xml:space="preserve">مستودع تحليلي ولوحات قابلة للدمج</t>
  </si>
  <si>
    <t xml:space="preserve">الإدارة/المعلّم</t>
  </si>
  <si>
    <t xml:space="preserve">نظام التحليلات الافتراضي</t>
  </si>
  <si>
    <t xml:space="preserve">Ralph LRS + event-routing</t>
  </si>
  <si>
    <t xml:space="preserve">تحليلات التعلّم</t>
  </si>
  <si>
    <t xml:space="preserve">مخزن xAPI وتحويل أحداث التتبّع إلى xAPI/Caliper</t>
  </si>
  <si>
    <t xml:space="preserve">XBlock framework</t>
  </si>
  <si>
    <t xml:space="preserve">إطار مكوّنات</t>
  </si>
  <si>
    <t xml:space="preserve">بناء مكوّنات تعليمية قابلة للدمج والتوسعة</t>
  </si>
  <si>
    <t xml:space="preserve">المؤلّف/تقني</t>
  </si>
  <si>
    <t xml:space="preserve">واجهة Python-level</t>
  </si>
  <si>
    <t xml:space="preserve">OLX (Open Learning XML)</t>
  </si>
  <si>
    <t xml:space="preserve">صيغة محتوى</t>
  </si>
  <si>
    <t xml:space="preserve">XML</t>
  </si>
  <si>
    <t xml:space="preserve">تمثيل وتصدير/استيراد المقررات</t>
  </si>
  <si>
    <t xml:space="preserve">الصيغة الأصلية</t>
  </si>
  <si>
    <t xml:space="preserve">Open edX Events / Filters</t>
  </si>
  <si>
    <t xml:space="preserve">آليات توسعة</t>
  </si>
  <si>
    <t xml:space="preserve">توسيع السلوك دون تعديل النواة</t>
  </si>
  <si>
    <t xml:space="preserve">Hooks Extension Framework</t>
  </si>
  <si>
    <t xml:space="preserve">Mobile Apps</t>
  </si>
  <si>
    <t xml:space="preserve">تطبيقات جوال</t>
  </si>
  <si>
    <t xml:space="preserve">Kotlin / Swift</t>
  </si>
  <si>
    <t xml:space="preserve">تطبيقات iOS/Android للمتعلّم</t>
  </si>
  <si>
    <t xml:space="preserve">تنزيل دون اتصال</t>
  </si>
  <si>
    <t xml:space="preserve">Tutor</t>
  </si>
  <si>
    <t xml:space="preserve">أداة النشر</t>
  </si>
  <si>
    <t xml:space="preserve">Docker / Python</t>
  </si>
  <si>
    <t xml:space="preserve">النشر بالحاويات وترقية الإصدارات</t>
  </si>
  <si>
    <t xml:space="preserve">الإدارة/تقني</t>
  </si>
  <si>
    <t xml:space="preserve">الطريقة الرسمية للنشر</t>
  </si>
  <si>
    <t xml:space="preserve">واجهة الطالب — حصر ميزات طبقة المتعلّم في Open edX</t>
  </si>
  <si>
    <t xml:space="preserve">النطاق: Open edX مفتوح المصدر (إصدار Ulmo يناير 2026 / Verawood يونيو 2026). المكوّنات بصيغتها الأصلية. الأهمية والنضج تقديرات اجتهادية قابلة للتعديل (1=ضعيف، 5=ممتاز).</t>
  </si>
  <si>
    <t xml:space="preserve">#</t>
  </si>
  <si>
    <t xml:space="preserve">الميزة</t>
  </si>
  <si>
    <t xml:space="preserve">المجموعة</t>
  </si>
  <si>
    <t xml:space="preserve">الوصف</t>
  </si>
  <si>
    <t xml:space="preserve">المكوّن التقني</t>
  </si>
  <si>
    <t xml:space="preserve">معيار/مرجع مرتبط</t>
  </si>
  <si>
    <t xml:space="preserve">الأهمية (1-5)</t>
  </si>
  <si>
    <t xml:space="preserve">النضج في Open edX (1-5)</t>
  </si>
  <si>
    <t xml:space="preserve">التسجيل وإنشاء الحساب</t>
  </si>
  <si>
    <t xml:space="preserve">التسجيل والوصول</t>
  </si>
  <si>
    <t xml:space="preserve">تسجيل بالبريد/اسم المستخدم مع تفعيل الحساب</t>
  </si>
  <si>
    <t xml:space="preserve">LMS (registration)</t>
  </si>
  <si>
    <t xml:space="preserve">الدخول الموحّد SSO</t>
  </si>
  <si>
    <t xml:space="preserve">دعم SAML 2.0 وOAuth2/OIDC (Google/Microsoft/Apple/LinkedIn)</t>
  </si>
  <si>
    <t xml:space="preserve">third_party_auth</t>
  </si>
  <si>
    <t xml:space="preserve">SAML 2.0 / OAuth2</t>
  </si>
  <si>
    <t xml:space="preserve">اكتشاف المقررات والكتالوج</t>
  </si>
  <si>
    <t xml:space="preserve">تصفّح وبحث الكتالوج وصفحات تعريف المقرر</t>
  </si>
  <si>
    <t xml:space="preserve">course-discovery / Catalog MFE</t>
  </si>
  <si>
    <t xml:space="preserve">التسجيل وأنماط المسار</t>
  </si>
  <si>
    <t xml:space="preserve">تسجيل ذاتي/مُدار وأنماط (audit/verified/honor)</t>
  </si>
  <si>
    <t xml:space="preserve">LMS (course_modes)</t>
  </si>
  <si>
    <t xml:space="preserve">المتطلّبات السابقة</t>
  </si>
  <si>
    <t xml:space="preserve">اشتراط إكمال جزء قبل آخر + امتحان دخول</t>
  </si>
  <si>
    <t xml:space="preserve">LMS (milestones)</t>
  </si>
  <si>
    <t xml:space="preserve">لوحة المتعلّم Dashboard</t>
  </si>
  <si>
    <t xml:space="preserve">لوحة المتعلّم</t>
  </si>
  <si>
    <t xml:space="preserve">قائمة المقررات والبرامج مع فلاتر وحالات وترتيب</t>
  </si>
  <si>
    <t xml:space="preserve">Learner Home MFE</t>
  </si>
  <si>
    <t xml:space="preserve">صفحة البرامج</t>
  </si>
  <si>
    <t xml:space="preserve">عرض البرامج (MicroMasters/XSeries) المسجّل بها</t>
  </si>
  <si>
    <t xml:space="preserve">مخطط المقرر Outline</t>
  </si>
  <si>
    <t xml:space="preserve">مشغّل المقرر</t>
  </si>
  <si>
    <t xml:space="preserve">تنقّل هرمي مع تقدير الجهد لكل قسم</t>
  </si>
  <si>
    <t xml:space="preserve">Learning MFE</t>
  </si>
  <si>
    <t xml:space="preserve">مشغّل المحتوى المتسلسل</t>
  </si>
  <si>
    <t xml:space="preserve">عرض الوحدات والتنقّل السابق/التالي وشريط الحالة</t>
  </si>
  <si>
    <t xml:space="preserve">مشغّل الفيديو</t>
  </si>
  <si>
    <t xml:space="preserve">تحكّم بالسرعة/الجودة/الترجمة/التنزيل + تتبّع المشاهدة</t>
  </si>
  <si>
    <t xml:space="preserve">video XBlock</t>
  </si>
  <si>
    <t xml:space="preserve">WCAG 2.2 AA</t>
  </si>
  <si>
    <t xml:space="preserve">النصوص والترجمات التفاعلية</t>
  </si>
  <si>
    <t xml:space="preserve">نصوص متزامنة قابلة للبحث والنقر للانتقال</t>
  </si>
  <si>
    <t xml:space="preserve">تعليم الإكمال Completion</t>
  </si>
  <si>
    <t xml:space="preserve">التتبّع والإنجاز</t>
  </si>
  <si>
    <t xml:space="preserve">مؤشّر إكمال تلقائي/يدوي للوحدات</t>
  </si>
  <si>
    <t xml:space="preserve">completion</t>
  </si>
  <si>
    <t xml:space="preserve">صفحة التقدّم Progress</t>
  </si>
  <si>
    <t xml:space="preserve">الدرجات لكل واجب + الرسوم البيانية + العتبات</t>
  </si>
  <si>
    <t xml:space="preserve">الشهادات</t>
  </si>
  <si>
    <t xml:space="preserve">شهادات HTML قابلة للتنزيل والمشاركة والتحقّق</t>
  </si>
  <si>
    <t xml:space="preserve">Open Badges / VC</t>
  </si>
  <si>
    <t xml:space="preserve">العلامات المرجعية Bookmarks</t>
  </si>
  <si>
    <t xml:space="preserve">المحتوى والتفاعل</t>
  </si>
  <si>
    <t xml:space="preserve">حفظ وحدات للرجوع إليها في صفحة مخصّصة</t>
  </si>
  <si>
    <t xml:space="preserve">LMS (bookmarks)</t>
  </si>
  <si>
    <t xml:space="preserve">الملاحظات والتظليل Notes</t>
  </si>
  <si>
    <t xml:space="preserve">تظليل النص وكتابة ملاحظات داخل المحتوى + بحثها</t>
  </si>
  <si>
    <t xml:space="preserve">البحث داخل/عبر المقررات</t>
  </si>
  <si>
    <t xml:space="preserve">بحث وحدة/مقرر واحد أو كل المقررات</t>
  </si>
  <si>
    <t xml:space="preserve">search (Meilisearch)</t>
  </si>
  <si>
    <t xml:space="preserve">ويكي المقرر</t>
  </si>
  <si>
    <t xml:space="preserve">صفحات ويكي تعاونية للمقرر</t>
  </si>
  <si>
    <t xml:space="preserve">wiki</t>
  </si>
  <si>
    <t xml:space="preserve">منتديات النقاش</t>
  </si>
  <si>
    <t xml:space="preserve">مواضيع/ردود/تعليقات + تمييز إجابة + متابعة</t>
  </si>
  <si>
    <t xml:space="preserve">Discussions MFE</t>
  </si>
  <si>
    <t xml:space="preserve">نقاشات الفِرق Teams</t>
  </si>
  <si>
    <t xml:space="preserve">مجموعات متعلّمين بنقاشات خاصة</t>
  </si>
  <si>
    <t xml:space="preserve">teams</t>
  </si>
  <si>
    <t xml:space="preserve">التقييم مفتوح الاستجابة ORA</t>
  </si>
  <si>
    <t xml:space="preserve">التقييم</t>
  </si>
  <si>
    <t xml:space="preserve">تقييم ذاتي/أقران/طاقم وفق معيار rubric مع رفع ملفات</t>
  </si>
  <si>
    <t xml:space="preserve">ORA XBlock + ORA MFE</t>
  </si>
  <si>
    <t xml:space="preserve">الامتحانات المؤقّتة والمراقَبة</t>
  </si>
  <si>
    <t xml:space="preserve">امتحانات بوقت محدّد + مراقبة proctoring</t>
  </si>
  <si>
    <t xml:space="preserve">edx-proctoring</t>
  </si>
  <si>
    <t xml:space="preserve">الإشعارات الذكية</t>
  </si>
  <si>
    <t xml:space="preserve">الإشعارات</t>
  </si>
  <si>
    <t xml:space="preserve">جرس إشعارات + ملخّصات يومية/أسبوعية (نقاش/درجات/تحديثات)</t>
  </si>
  <si>
    <t xml:space="preserve">Notifications (Ulmo)</t>
  </si>
  <si>
    <t xml:space="preserve">تفضيلات الإشعارات</t>
  </si>
  <si>
    <t xml:space="preserve">تحكّم بالقنوات (داخل المنصة/بريد) والتكرار</t>
  </si>
  <si>
    <t xml:space="preserve">Account MFE</t>
  </si>
  <si>
    <t xml:space="preserve">الملف الشخصي العام</t>
  </si>
  <si>
    <t xml:space="preserve">الملف الشخصي</t>
  </si>
  <si>
    <t xml:space="preserve">صورة ونبذة وروابط اجتماعية</t>
  </si>
  <si>
    <t xml:space="preserve">Profile MFE</t>
  </si>
  <si>
    <t xml:space="preserve">إعدادات الحساب</t>
  </si>
  <si>
    <t xml:space="preserve">اللغة/المنطقة الزمنية/الخصوصية/كلمة المرور/حذف الحساب</t>
  </si>
  <si>
    <t xml:space="preserve">GDPR</t>
  </si>
  <si>
    <t xml:space="preserve">تطبيقات الجوال</t>
  </si>
  <si>
    <t xml:space="preserve">الجوال</t>
  </si>
  <si>
    <t xml:space="preserve">مشاهدة وتنزيل دون اتصال + كاروسيل التقدّم (iOS/Android)</t>
  </si>
  <si>
    <t xml:space="preserve">الواجهة متعددة اللغات وRTL</t>
  </si>
  <si>
    <t xml:space="preserve">اللغة والتدويل</t>
  </si>
  <si>
    <t xml:space="preserve">ترجمات عبر Atlas/Transifex ودعم اتجاه RTL</t>
  </si>
  <si>
    <t xml:space="preserve">i18n / Atlas</t>
  </si>
  <si>
    <t xml:space="preserve">Unicode / CLDR</t>
  </si>
  <si>
    <t xml:space="preserve">تراخيص المحتوى والفيديو</t>
  </si>
  <si>
    <t xml:space="preserve">عرض رخصة المقرر (CC / جميع الحقوق محفوظة)</t>
  </si>
  <si>
    <t xml:space="preserve">LMS</t>
  </si>
  <si>
    <t xml:space="preserve">Creative Commons</t>
  </si>
  <si>
    <t xml:space="preserve">المقررات المؤرشفة</t>
  </si>
  <si>
    <t xml:space="preserve">وصول للمحتوى بعد الانتهاء (دون تسليم/نقاش)</t>
  </si>
  <si>
    <t xml:space="preserve">المشاركة الاجتماعية للإنجاز</t>
  </si>
  <si>
    <t xml:space="preserve">مشاركة المقررات/الشهادات على الشبكات</t>
  </si>
  <si>
    <t xml:space="preserve">OpenGraph</t>
  </si>
  <si>
    <t xml:space="preserve">احتفالات التقدّم Streaks</t>
  </si>
  <si>
    <t xml:space="preserve">تحفيز بصري عند بلوغ معالم الإنجاز</t>
  </si>
  <si>
    <t xml:space="preserve">عدد الميزات / متوسط الأهمية / متوسط النضج</t>
  </si>
  <si>
    <t xml:space="preserve">واجهة المؤلّف — حصر ميزات استوديو التأليف (Studio / CMS)</t>
  </si>
  <si>
    <t xml:space="preserve">بيئة التأليف المدمجة مع كل إصدار. تكتب إلى نفس قاعدة المحتوى التي يقرأها الـ LMS.</t>
  </si>
  <si>
    <t xml:space="preserve">إنشاء مقرر جديد</t>
  </si>
  <si>
    <t xml:space="preserve">الإعداد</t>
  </si>
  <si>
    <t xml:space="preserve">إنشاء مقرر بمعرّف org/number/run</t>
  </si>
  <si>
    <t xml:space="preserve">Studio (CMS)</t>
  </si>
  <si>
    <t xml:space="preserve">البناء</t>
  </si>
  <si>
    <t xml:space="preserve">أقسام/أقسام فرعية/وحدات بالسحب والإفلات</t>
  </si>
  <si>
    <t xml:space="preserve">Studio</t>
  </si>
  <si>
    <t xml:space="preserve">حالات النشر الخمس</t>
  </si>
  <si>
    <t xml:space="preserve">مسودة/منشور/معدّل/مجدول/مخفي للتحكّم بالظهور</t>
  </si>
  <si>
    <t xml:space="preserve">تواريخ الإصدار والظهور</t>
  </si>
  <si>
    <t xml:space="preserve">جدولة الإصدار والرؤية لكل قسم/وحدة</t>
  </si>
  <si>
    <t xml:space="preserve">النشر التدريجي</t>
  </si>
  <si>
    <t xml:space="preserve">إصدار المحتوى على دفعات أثناء التشغيل</t>
  </si>
  <si>
    <t xml:space="preserve">مكوّنات الوحدة</t>
  </si>
  <si>
    <t xml:space="preserve">إضافة/تحرير/إخفاء/نسخ/نقل المكوّنات</t>
  </si>
  <si>
    <t xml:space="preserve">محرّر المسائل البسيط</t>
  </si>
  <si>
    <t xml:space="preserve">التأليف</t>
  </si>
  <si>
    <t xml:space="preserve">محرّر مرئي لأنواع المسائل الشائعة</t>
  </si>
  <si>
    <t xml:space="preserve">capa (problem)</t>
  </si>
  <si>
    <t xml:space="preserve">محرّر XML المتقدّم</t>
  </si>
  <si>
    <t xml:space="preserve">تحرير OLX مباشرة للمسائل المعقّدة</t>
  </si>
  <si>
    <t xml:space="preserve">capa / OLX</t>
  </si>
  <si>
    <t xml:space="preserve">OLX</t>
  </si>
  <si>
    <t xml:space="preserve">محرّر النص/HTML</t>
  </si>
  <si>
    <t xml:space="preserve">محرّر نصوص غني (WYSIWYG)</t>
  </si>
  <si>
    <t xml:space="preserve">html XBlock</t>
  </si>
  <si>
    <t xml:space="preserve">رفع الفيديو والنصوص</t>
  </si>
  <si>
    <t xml:space="preserve">رفع الفيديوهات وإدارة الترجمات/النصوص</t>
  </si>
  <si>
    <t xml:space="preserve">video pipeline</t>
  </si>
  <si>
    <t xml:space="preserve">سياسة الدرجات</t>
  </si>
  <si>
    <t xml:space="preserve">أنواع الواجبات وأوزانها وعتبات النجاح</t>
  </si>
  <si>
    <t xml:space="preserve">Studio (grading)</t>
  </si>
  <si>
    <t xml:space="preserve">الإعدادات المتقدّمة</t>
  </si>
  <si>
    <t xml:space="preserve">تهيئة JSON لخصائص متقدّمة للمقرر</t>
  </si>
  <si>
    <t xml:space="preserve">Studio (advanced settings)</t>
  </si>
  <si>
    <t xml:space="preserve">الوحدات المتقدّمة (تفعيل XBlocks)</t>
  </si>
  <si>
    <t xml:space="preserve">تفعيل XBlocks إضافية عبر Advanced Modules</t>
  </si>
  <si>
    <t xml:space="preserve">استيراد/تصدير OLX</t>
  </si>
  <si>
    <t xml:space="preserve">نقل المقرر بالكامل بصيغة OLX</t>
  </si>
  <si>
    <t xml:space="preserve">Studio / OLX</t>
  </si>
  <si>
    <t xml:space="preserve">قوائم التحقّق Checklists</t>
  </si>
  <si>
    <t xml:space="preserve">قوائم مهام قبل الإطلاق</t>
  </si>
  <si>
    <t xml:space="preserve">التأليف الجماعي Co-authors</t>
  </si>
  <si>
    <t xml:space="preserve">الفريق</t>
  </si>
  <si>
    <t xml:space="preserve">وصول كامل لأعضاء فريق المقرر للأدوات</t>
  </si>
  <si>
    <t xml:space="preserve">RBAC</t>
  </si>
  <si>
    <t xml:space="preserve">مكتبات المحتوى v1</t>
  </si>
  <si>
    <t xml:space="preserve">إعادة الاستخدام</t>
  </si>
  <si>
    <t xml:space="preserve">بنوك أسئلة عشوائية (Randomized Content)</t>
  </si>
  <si>
    <t xml:space="preserve">Library v1</t>
  </si>
  <si>
    <t xml:space="preserve">مكتبات المحتوى v2 الهيكلية</t>
  </si>
  <si>
    <t xml:space="preserve">بناء وإعادة استخدام أقسام كاملة + بحث Meilisearch</t>
  </si>
  <si>
    <t xml:space="preserve">Library v2 (Sumac/Ulmo)</t>
  </si>
  <si>
    <t xml:space="preserve">امتحان الدخول</t>
  </si>
  <si>
    <t xml:space="preserve">اشتراط امتحان قبل دخول المقرر</t>
  </si>
  <si>
    <t xml:space="preserve">تهيئة المجموعات A/B</t>
  </si>
  <si>
    <t xml:space="preserve">التجارب</t>
  </si>
  <si>
    <t xml:space="preserve">Content Groups وتجارب المحتوى (Content Experiments)</t>
  </si>
  <si>
    <t xml:space="preserve">تهيئة الشهادات</t>
  </si>
  <si>
    <t xml:space="preserve">الإطلاق</t>
  </si>
  <si>
    <t xml:space="preserve">تفعيل وتصميم شهادات المقرر</t>
  </si>
  <si>
    <t xml:space="preserve">Studio / credentials</t>
  </si>
  <si>
    <t xml:space="preserve">الصفحات والموارد</t>
  </si>
  <si>
    <t xml:space="preserve">تفعيل الصفحات (Wiki/Teams/Progress) والأدوات</t>
  </si>
  <si>
    <t xml:space="preserve">Studio (Pages &amp; Resources)</t>
  </si>
  <si>
    <t xml:space="preserve">الكتب النصية Textbooks</t>
  </si>
  <si>
    <t xml:space="preserve">رفع كتب PDF مرتبطة بالمقرر</t>
  </si>
  <si>
    <t xml:space="preserve">تحديثات المقرر والنشرات</t>
  </si>
  <si>
    <t xml:space="preserve">التواصل</t>
  </si>
  <si>
    <t xml:space="preserve">إعلانات المقرر وملفات handouts</t>
  </si>
  <si>
    <t xml:space="preserve">بحث الاستوديو</t>
  </si>
  <si>
    <t xml:space="preserve">بحث داخل محتوى المقرر</t>
  </si>
  <si>
    <t xml:space="preserve">Studio Search (Sumac+)</t>
  </si>
  <si>
    <t xml:space="preserve">التحليلات السياقية داخل الاستوديو</t>
  </si>
  <si>
    <t xml:space="preserve">التحسين</t>
  </si>
  <si>
    <t xml:space="preserve">رؤى (صحّة الإجابات/إعادة مشاهدة الفيديو) دون مغادرة الاستوديو</t>
  </si>
  <si>
    <t xml:space="preserve">Aspects (Teak+)</t>
  </si>
  <si>
    <t xml:space="preserve">Caliper / xAPI</t>
  </si>
  <si>
    <t xml:space="preserve">تحديث واجهة الاستوديو</t>
  </si>
  <si>
    <t xml:space="preserve">واجهة استوديو حديثة افتراضياً</t>
  </si>
  <si>
    <t xml:space="preserve">Authoring MFE (Teak+)</t>
  </si>
  <si>
    <t xml:space="preserve">المعاينة كطالب</t>
  </si>
  <si>
    <t xml:space="preserve">معاينة المحتوى كما يراه المتعلّم + معاينة الفئات</t>
  </si>
  <si>
    <t xml:space="preserve">Studio (preview)</t>
  </si>
  <si>
    <t xml:space="preserve">لوحة المعلّم — حصر ميزات Instructor Dashboard داخل الـ LMS</t>
  </si>
  <si>
    <t xml:space="preserve">أدوات إدارة المقرر الحيّ: العضوية، المجموعات، الدرجات، البيانات، التواصل، التحليلات.</t>
  </si>
  <si>
    <t xml:space="preserve">معلومات المقرر</t>
  </si>
  <si>
    <t xml:space="preserve">عام</t>
  </si>
  <si>
    <t xml:space="preserve">ملخّص (المسجّلون، التواريخ، الأقسام، العتبات)</t>
  </si>
  <si>
    <t xml:space="preserve">Instructor Dashboard</t>
  </si>
  <si>
    <t xml:space="preserve">العضوية والتسجيل</t>
  </si>
  <si>
    <t xml:space="preserve">تسجيل/إلغاء + دعوة بالبريد + رفع CSV</t>
  </si>
  <si>
    <t xml:space="preserve">إسناد الأدوار</t>
  </si>
  <si>
    <t xml:space="preserve">Staff/Admin/Beta/Discussion/Data Researcher</t>
  </si>
  <si>
    <t xml:space="preserve">المجموعات Cohorts</t>
  </si>
  <si>
    <t xml:space="preserve">تقسيم المتعلّمين + محتوى مخصّص + رفع CSV</t>
  </si>
  <si>
    <t xml:space="preserve">cohorts</t>
  </si>
  <si>
    <t xml:space="preserve">تمديد المواعيد Extensions</t>
  </si>
  <si>
    <t xml:space="preserve">تمديد آجال التسليم لمتعلّم/قسم</t>
  </si>
  <si>
    <t xml:space="preserve">إدارة المتعلّم Student Admin</t>
  </si>
  <si>
    <t xml:space="preserve">الدرجات</t>
  </si>
  <si>
    <t xml:space="preserve">عرض/إعادة/تجاوز درجات فرد أو الكل</t>
  </si>
  <si>
    <t xml:space="preserve">سجلّ الدرجات Gradebook</t>
  </si>
  <si>
    <t xml:space="preserve">عرض وتحرير الدرجات (Gradebook MFE)</t>
  </si>
  <si>
    <t xml:space="preserve">Gradebook MFE</t>
  </si>
  <si>
    <t xml:space="preserve">تنزيل البيانات والتقارير</t>
  </si>
  <si>
    <t xml:space="preserve">البيانات</t>
  </si>
  <si>
    <t xml:space="preserve">تقارير CSV (ملفّات/درجات/ORA/مجهولة/تدخّلات)</t>
  </si>
  <si>
    <t xml:space="preserve">البريد الجماعي Bulk Email</t>
  </si>
  <si>
    <t xml:space="preserve">رسائل لكل/فئة من المتعلّمين</t>
  </si>
  <si>
    <t xml:space="preserve">bulk_email</t>
  </si>
  <si>
    <t xml:space="preserve">التحليلات Analytics/Insights</t>
  </si>
  <si>
    <t xml:space="preserve">التحليلات</t>
  </si>
  <si>
    <t xml:space="preserve">توزيعات ديموغرافية ونشاط أسبوعي ولوحات Aspects</t>
  </si>
  <si>
    <t xml:space="preserve">Insights / Aspects</t>
  </si>
  <si>
    <t xml:space="preserve">Caliper</t>
  </si>
  <si>
    <t xml:space="preserve">إدارة ORA</t>
  </si>
  <si>
    <t xml:space="preserve">تصحيح الطاقم ومقاييس التقييم مفتوح الاستجابة</t>
  </si>
  <si>
    <t xml:space="preserve">ORA MFE</t>
  </si>
  <si>
    <t xml:space="preserve">الامتحانات الخاصة والمراقبة</t>
  </si>
  <si>
    <t xml:space="preserve">إدارة الامتحانات المؤقّتة/المراقَبة</t>
  </si>
  <si>
    <t xml:space="preserve">إدارة الشهادات</t>
  </si>
  <si>
    <t xml:space="preserve">الإنجاز</t>
  </si>
  <si>
    <t xml:space="preserve">إصدار/إلغاء/إعادة توليد الشهادات</t>
  </si>
  <si>
    <t xml:space="preserve">certificates</t>
  </si>
  <si>
    <t xml:space="preserve">إدارة النقاش</t>
  </si>
  <si>
    <t xml:space="preserve">التفاعل</t>
  </si>
  <si>
    <t xml:space="preserve">أدوار الإشراف وإدارة المنتدى</t>
  </si>
  <si>
    <t xml:space="preserve">Discussions</t>
  </si>
  <si>
    <t xml:space="preserve">تقرير التدخّلات (Master's)</t>
  </si>
  <si>
    <t xml:space="preserve">تصدير تقدّم/درجات لمسار الماجستير للتدخّل اليدوي</t>
  </si>
  <si>
    <t xml:space="preserve">الإعلانات وتحديثات المقرر</t>
  </si>
  <si>
    <t xml:space="preserve">تحديثات المقرر الظاهرة للمتعلّمين</t>
  </si>
  <si>
    <t xml:space="preserve">الإدارة والتشغيل — حصر ميزات طبقة المشرف/المشغّل</t>
  </si>
  <si>
    <t xml:space="preserve">Django Admin + خدمات IDA + التحليلات + الأمان والصلاحيات + النشر.</t>
  </si>
  <si>
    <t xml:space="preserve">وحدة Django الإدارية</t>
  </si>
  <si>
    <t xml:space="preserve">إدارة النماذج وسجلات الموقع والإعدادات</t>
  </si>
  <si>
    <t xml:space="preserve">Django Admin</t>
  </si>
  <si>
    <t xml:space="preserve">إدارة المستخدمين والصلاحيات</t>
  </si>
  <si>
    <t xml:space="preserve">الأمان</t>
  </si>
  <si>
    <t xml:space="preserve">مستخدمون/مجموعات/أذونات على مستوى النموذج</t>
  </si>
  <si>
    <t xml:space="preserve">Django auth</t>
  </si>
  <si>
    <t xml:space="preserve">الأدوار العامة Global Staff/Superuser</t>
  </si>
  <si>
    <t xml:space="preserve">أدوار نظامية عالية الصلاحية تُمرّر في JWT</t>
  </si>
  <si>
    <t xml:space="preserve">edx-rbac</t>
  </si>
  <si>
    <t xml:space="preserve">أدوار المقرر/المؤسسة</t>
  </si>
  <si>
    <t xml:space="preserve">student_courseaccessrole (مقرر/منظمة/نظام)</t>
  </si>
  <si>
    <t xml:space="preserve">اعتماد منشئي المقررات</t>
  </si>
  <si>
    <t xml:space="preserve">طلب/اعتماد صلاحية إنشاء المقررات</t>
  </si>
  <si>
    <t xml:space="preserve">Studio / Django</t>
  </si>
  <si>
    <t xml:space="preserve">تعدّد المستأجرين Multi-tenant</t>
  </si>
  <si>
    <t xml:space="preserve">التشغيل</t>
  </si>
  <si>
    <t xml:space="preserve">مواقع/منظمات متعددة (Site Configuration)</t>
  </si>
  <si>
    <t xml:space="preserve">site_configuration</t>
  </si>
  <si>
    <t xml:space="preserve">تهيئة الموقع والهوية</t>
  </si>
  <si>
    <t xml:space="preserve">إعدادات الموقع والثيم والشعارات لكل مستأجر</t>
  </si>
  <si>
    <t xml:space="preserve">site_configuration / brand</t>
  </si>
  <si>
    <t xml:space="preserve">أنماط التسجيل والأسعار</t>
  </si>
  <si>
    <t xml:space="preserve">التجارة</t>
  </si>
  <si>
    <t xml:space="preserve">تهيئة course modes والكوبونات والمدفوعات</t>
  </si>
  <si>
    <t xml:space="preserve">خدمة اكتشاف المقررات</t>
  </si>
  <si>
    <t xml:space="preserve">الاكتشاف</t>
  </si>
  <si>
    <t xml:space="preserve">كتالوجات وبرامج وبحث موحّد + API خارجي</t>
  </si>
  <si>
    <t xml:space="preserve">إدارة البرامج والاعتمادات</t>
  </si>
  <si>
    <t xml:space="preserve">برامج (MicroMasters/XSeries) وإصدار الاعتمادات</t>
  </si>
  <si>
    <t xml:space="preserve">credentials / discovery</t>
  </si>
  <si>
    <t xml:space="preserve">قوالب الشهادات HTML</t>
  </si>
  <si>
    <t xml:space="preserve">تحرير/إنشاء قوالب الشهادات من Django</t>
  </si>
  <si>
    <t xml:space="preserve">مفاتيح الميزات Waffle Flags</t>
  </si>
  <si>
    <t xml:space="preserve">تفعيل/إيقاف ميزات لكل موقع/مقرر</t>
  </si>
  <si>
    <t xml:space="preserve">waffle</t>
  </si>
  <si>
    <t xml:space="preserve">المصادقة الخارجية</t>
  </si>
  <si>
    <t xml:space="preserve">SAML/OAuth2 وموفّرو الهوية</t>
  </si>
  <si>
    <t xml:space="preserve">SAML / OAuth2</t>
  </si>
  <si>
    <t xml:space="preserve">الامتثال للخصوصية (Retirement)</t>
  </si>
  <si>
    <t xml:space="preserve">أرشفة/إخفاء هوية المستخدم عند الطلب</t>
  </si>
  <si>
    <t xml:space="preserve">user retirement</t>
  </si>
  <si>
    <t xml:space="preserve">منظومة التحليلات Aspects</t>
  </si>
  <si>
    <t xml:space="preserve">ClickHouse + Superset ولوحات قابلة للدمج</t>
  </si>
  <si>
    <t xml:space="preserve">Aspects</t>
  </si>
  <si>
    <t xml:space="preserve">مصارف الأحداث وتوجيهها</t>
  </si>
  <si>
    <t xml:space="preserve">تحويل أحداث التتبّع إلى xAPI/Caliper إلى LRS</t>
  </si>
  <si>
    <t xml:space="preserve">event-routing-backends</t>
  </si>
  <si>
    <t xml:space="preserve">xAPI / Caliper</t>
  </si>
  <si>
    <t xml:space="preserve">إدارة البحث والفهرسة</t>
  </si>
  <si>
    <t xml:space="preserve">Meilisearch/Elasticsearch للمحتوى والمكتبات</t>
  </si>
  <si>
    <t xml:space="preserve">search</t>
  </si>
  <si>
    <t xml:space="preserve">النشر والترقية Tutor</t>
  </si>
  <si>
    <t xml:space="preserve">نشر بالحاويات وترقية الإصدارات</t>
  </si>
  <si>
    <t xml:space="preserve">Tutor (Docker)</t>
  </si>
  <si>
    <t xml:space="preserve">مهام الخلفية والجدولة</t>
  </si>
  <si>
    <t xml:space="preserve">Celery للتقارير والبريد والدرجات والفهرسة</t>
  </si>
  <si>
    <t xml:space="preserve">إدارة المحتوى المعاد استخدامه</t>
  </si>
  <si>
    <t xml:space="preserve">مكتبات v2 وصلاحياتها</t>
  </si>
  <si>
    <t xml:space="preserve">Library v2</t>
  </si>
  <si>
    <t xml:space="preserve">سجلّات الأحداث والتدقيق</t>
  </si>
  <si>
    <t xml:space="preserve">تتبّع الأحداث وسجلّات الموقع</t>
  </si>
  <si>
    <t xml:space="preserve">tracking logs</t>
  </si>
  <si>
    <t xml:space="preserve">أنواع الأسئلة والمكوّنات (XBlocks / Problem Types)</t>
  </si>
  <si>
    <t xml:space="preserve">المكوّنات الأساسية مدمجة؛ المتقدّمة تُفعّل عبر Advanced Modules أو تُثبّت كـ XBlocks. النظام قابل للتوسعة ببناء XBlocks مخصّصة.</t>
  </si>
  <si>
    <t xml:space="preserve">المكوّن / نوع السؤال</t>
  </si>
  <si>
    <t xml:space="preserve">الفئة</t>
  </si>
  <si>
    <t xml:space="preserve">تقييم تلقائي؟</t>
  </si>
  <si>
    <t xml:space="preserve">درجات جزئية؟</t>
  </si>
  <si>
    <t xml:space="preserve">متوافق جوال؟</t>
  </si>
  <si>
    <t xml:space="preserve">اختيار من متعدّد Multiple Choice</t>
  </si>
  <si>
    <t xml:space="preserve">أساسي</t>
  </si>
  <si>
    <t xml:space="preserve">اختيار إجابة واحدة من قائمة</t>
  </si>
  <si>
    <t xml:space="preserve">نعم</t>
  </si>
  <si>
    <t xml:space="preserve">capa</t>
  </si>
  <si>
    <t xml:space="preserve">صناديق اختيار Checkboxes</t>
  </si>
  <si>
    <t xml:space="preserve">اختيار واحد أو أكثر</t>
  </si>
  <si>
    <t xml:space="preserve">Multi-select</t>
  </si>
  <si>
    <t xml:space="preserve">قائمة منسدلة Dropdown</t>
  </si>
  <si>
    <t xml:space="preserve">اختيار من قائمة منسدلة</t>
  </si>
  <si>
    <t xml:space="preserve">لا</t>
  </si>
  <si>
    <t xml:space="preserve">إدخال نصّي Text Input</t>
  </si>
  <si>
    <t xml:space="preserve">مطابقة نص/أنماط regex</t>
  </si>
  <si>
    <t xml:space="preserve">إدخال رقمي Numerical</t>
  </si>
  <si>
    <t xml:space="preserve">أرقام/كسور/ثوابت + تحمّل خطأ</t>
  </si>
  <si>
    <t xml:space="preserve">تعبير رياضي Math Expression</t>
  </si>
  <si>
    <t xml:space="preserve">معادلات رمزية</t>
  </si>
  <si>
    <t xml:space="preserve">MathJax</t>
  </si>
  <si>
    <t xml:space="preserve">السحب والإفلات v2</t>
  </si>
  <si>
    <t xml:space="preserve">أساسي/متقدّم</t>
  </si>
  <si>
    <t xml:space="preserve">وضع عناصر على مناطق صورة (قياسي/تقييمي)</t>
  </si>
  <si>
    <t xml:space="preserve">متاح الوصول</t>
  </si>
  <si>
    <t xml:space="preserve">كتابة LaTeX</t>
  </si>
  <si>
    <t xml:space="preserve">متقدّم</t>
  </si>
  <si>
    <t xml:space="preserve">مسائل مكتوبة بـ LaTeX</t>
  </si>
  <si>
    <t xml:space="preserve">جزئي</t>
  </si>
  <si>
    <t xml:space="preserve">الدائرة الكهربائية Circuit</t>
  </si>
  <si>
    <t xml:space="preserve">رسم وتقييم دوائر كهربائية</t>
  </si>
  <si>
    <t xml:space="preserve">معادلة كيميائية Chemical</t>
  </si>
  <si>
    <t xml:space="preserve">إدخال معادلات كيميائية</t>
  </si>
  <si>
    <t xml:space="preserve">JavaScript مخصّص JSInput</t>
  </si>
  <si>
    <t xml:space="preserve">مسائل بواجهة JS مخصّصة</t>
  </si>
  <si>
    <t xml:space="preserve">مصحّح خارجي External Grader</t>
  </si>
  <si>
    <t xml:space="preserve">تصحيح كود برمجي عبر خدمة خارجية</t>
  </si>
  <si>
    <t xml:space="preserve">codejail / xqueue</t>
  </si>
  <si>
    <t xml:space="preserve">مقالات/ملفّات بتقييم ذاتي/أقران/طاقم وفق rubric</t>
  </si>
  <si>
    <t xml:space="preserve">ORA</t>
  </si>
  <si>
    <t xml:space="preserve">مستهلك LTI Consumer</t>
  </si>
  <si>
    <t xml:space="preserve">دمج أدوات خارجية LTI 1.1/1.3</t>
  </si>
  <si>
    <t xml:space="preserve">LTI Advantage</t>
  </si>
  <si>
    <t xml:space="preserve">مكوّن SCORM</t>
  </si>
  <si>
    <t xml:space="preserve">تشغيل حزم SCORM 1.2/2004 وحفظ الحالة</t>
  </si>
  <si>
    <t xml:space="preserve">xblock عبر pip</t>
  </si>
  <si>
    <t xml:space="preserve">استطلاع/تصويت Poll/Survey</t>
  </si>
  <si>
    <t xml:space="preserve">استطلاعات وتصويت</t>
  </si>
  <si>
    <t xml:space="preserve">مفعّل افتراضياً (Teak+)</t>
  </si>
  <si>
    <t xml:space="preserve">سحابة كلمات Word Cloud</t>
  </si>
  <si>
    <t xml:space="preserve">تجميع مدخلات نصّية بصرياً</t>
  </si>
  <si>
    <t xml:space="preserve">تعليمات الأقران Peer Instruction</t>
  </si>
  <si>
    <t xml:space="preserve">مراجعة إجابات الأقران وتبريراتها</t>
  </si>
  <si>
    <t xml:space="preserve">Problem/Step Builder</t>
  </si>
  <si>
    <t xml:space="preserve">MCQ/MRQ ونص حر متعدد الخطوات</t>
  </si>
  <si>
    <t xml:space="preserve">xblock-mentoring</t>
  </si>
  <si>
    <t xml:space="preserve">استجابة نصّية حرّة Free-text</t>
  </si>
  <si>
    <t xml:space="preserve">إجابات نصّية مفتوحة قصيرة</t>
  </si>
  <si>
    <t xml:space="preserve">مكوّن الإكمال Completion</t>
  </si>
  <si>
    <t xml:space="preserve">زر تعليم الإكمال يدوياً</t>
  </si>
  <si>
    <t xml:space="preserve">مكوّنات محتوى مضمّنة</t>
  </si>
  <si>
    <t xml:space="preserve">Google Docs/Drive، نقاش مضمّن، صورة/فيديو/iframe</t>
  </si>
  <si>
    <t xml:space="preserve">التصميم والجماليات وتجربة الاستخدام</t>
  </si>
  <si>
    <t xml:space="preserve">تقييم البُعد البصري والوصولي والتجريبي. التقييم تقديري (1-5).</t>
  </si>
  <si>
    <t xml:space="preserve">البُعد</t>
  </si>
  <si>
    <t xml:space="preserve">التفاصيل في Open edX</t>
  </si>
  <si>
    <t xml:space="preserve">التقييم (1-5)</t>
  </si>
  <si>
    <t xml:space="preserve">معيار/أداة القياس</t>
  </si>
  <si>
    <t xml:space="preserve">نظام التصميم</t>
  </si>
  <si>
    <t xml:space="preserve">Paragon: مكوّنات React متاحة الوصول + أساس SCSS + Design Tokens</t>
  </si>
  <si>
    <t xml:space="preserve">اتساق المكوّنات</t>
  </si>
  <si>
    <t xml:space="preserve">مبني على Bootstrap / React-Bootstrap</t>
  </si>
  <si>
    <t xml:space="preserve">الثيمات والهوية</t>
  </si>
  <si>
    <t xml:space="preserve">ثيم Indigo + حزمة @openedx/brand + نظام ثيم جديد (مطلوب منذ Ulmo)</t>
  </si>
  <si>
    <t xml:space="preserve">قابلية التخصيص</t>
  </si>
  <si>
    <t xml:space="preserve">تخصيص ألوان/شعارات/خطوط</t>
  </si>
  <si>
    <t xml:space="preserve">التخصيص دون تعديل النواة</t>
  </si>
  <si>
    <t xml:space="preserve">إطار Slots وFrontend Plugin Framework لحقن مكوّنات</t>
  </si>
  <si>
    <t xml:space="preserve">مرونة التوسعة</t>
  </si>
  <si>
    <t xml:space="preserve">Sumac فما بعد</t>
  </si>
  <si>
    <t xml:space="preserve">دعم العربية وRTL</t>
  </si>
  <si>
    <t xml:space="preserve">ترجمات Atlas/Transifex ودعم اتجاه RTL في Paragon</t>
  </si>
  <si>
    <t xml:space="preserve">يحتاج ضبطاً وثيماً لتحسين RTL</t>
  </si>
  <si>
    <t xml:space="preserve">الوضع الليلي Dark Mode</t>
  </si>
  <si>
    <t xml:space="preserve">مقترح Design Tokens للجوال (اشتقاق غامق ديناميكي)</t>
  </si>
  <si>
    <t xml:space="preserve">تفضيلات المستخدم</t>
  </si>
  <si>
    <t xml:space="preserve">أنضج في تطبيقات الجوال</t>
  </si>
  <si>
    <t xml:space="preserve">التجاوب Responsive</t>
  </si>
  <si>
    <t xml:space="preserve">تصميم mobile-first عبر Bootstrap + تطبيقات جوال أصلية</t>
  </si>
  <si>
    <t xml:space="preserve">Mobile-Friendly Test</t>
  </si>
  <si>
    <t xml:space="preserve">الاتساق البصري</t>
  </si>
  <si>
    <t xml:space="preserve">اتساق جيد داخل MFEs، وتفاوت مع الصفحات القديمة (يتقلّص)</t>
  </si>
  <si>
    <t xml:space="preserve">مراجعة هيوريستية</t>
  </si>
  <si>
    <t xml:space="preserve">الصفحات القديمة تُهجَر تدريجياً</t>
  </si>
  <si>
    <t xml:space="preserve">إمكانية الوصول a11y</t>
  </si>
  <si>
    <t xml:space="preserve">التزام WCAG 2.2 AA + eslint-plugin-jsx-a11y + VPAT</t>
  </si>
  <si>
    <t xml:space="preserve">فحص آلي + يدوي</t>
  </si>
  <si>
    <t xml:space="preserve">هندسة المعلومات والتنقّل</t>
  </si>
  <si>
    <t xml:space="preserve">مخطط هرمي واضح (قسم/فرعي/وحدة) + شريط تقدّم وكاروسيل</t>
  </si>
  <si>
    <t xml:space="preserve">الأداء وسرعة التحميل</t>
  </si>
  <si>
    <t xml:space="preserve">حِزم MFE منفصلة؛ حجمها وتعدّدها تحدٍّ تاريخي</t>
  </si>
  <si>
    <t xml:space="preserve">Core Web Vitals / Lighthouse</t>
  </si>
  <si>
    <t xml:space="preserve">Module Federation يخفّف</t>
  </si>
  <si>
    <t xml:space="preserve">التدويل i18n</t>
  </si>
  <si>
    <t xml:space="preserve">بنية قوية عبر react-intl وAtlas وتغطية لغات واسعة</t>
  </si>
  <si>
    <t xml:space="preserve">تغطية الترجمة</t>
  </si>
  <si>
    <t xml:space="preserve">التغذية الراجعة وحالات الفراغ</t>
  </si>
  <si>
    <t xml:space="preserve">معالجة حالات التحميل/الخطأ/الفراغ متفاوتة بين MFEs</t>
  </si>
  <si>
    <t xml:space="preserve">UX heuristics</t>
  </si>
  <si>
    <t xml:space="preserve">قابلية الاستخدام الإجمالية</t>
  </si>
  <si>
    <t xml:space="preserve">قوة عالية مقابل منحنى تعلّم أعلى للمؤلّف/المشغّل</t>
  </si>
  <si>
    <t xml:space="preserve">SUS</t>
  </si>
  <si>
    <t xml:space="preserve">متوسط التقييم</t>
  </si>
  <si>
    <t xml:space="preserve">تحسين الظهور في محركات البحث (SEO)</t>
  </si>
  <si>
    <t xml:space="preserve">ملاحظة جوهرية: نقطة الضعف الأبرز في Open edX هي SEO بسبب التصيير من العميل (CSR) في الـ MFEs وغياب schema.org من النواة. إصدارات 2026 (صفحات المقرر الجديدة + Catalog MFE) تعالج جزءاً من ذلك.</t>
  </si>
  <si>
    <t xml:space="preserve">عنصر SEO</t>
  </si>
  <si>
    <t xml:space="preserve">الوضع في Open edX</t>
  </si>
  <si>
    <t xml:space="preserve">الحالة</t>
  </si>
  <si>
    <t xml:space="preserve">التوصية</t>
  </si>
  <si>
    <t xml:space="preserve">التصيير من الخادم SSR</t>
  </si>
  <si>
    <t xml:space="preserve">الـ MFEs تُصيَّر من العميل (CSR)</t>
  </si>
  <si>
    <t xml:space="preserve">ضعيف</t>
  </si>
  <si>
    <t xml:space="preserve">Lighthouse SEO</t>
  </si>
  <si>
    <t xml:space="preserve">تصيير صفحات التسويق من الخادم أو طبقة منفصلة</t>
  </si>
  <si>
    <t xml:space="preserve">صفحات تعريف المقرر</t>
  </si>
  <si>
    <t xml:space="preserve">تقليدياً خلف الـ LMS؛ تحسّنت بـ Beautiful Course Pages (Ulmo)</t>
  </si>
  <si>
    <t xml:space="preserve">جزئي → جيد</t>
  </si>
  <si>
    <t xml:space="preserve">فحص الفهرسة</t>
  </si>
  <si>
    <t xml:space="preserve">اعتماد صفحات Ulmo القابلة للتخصيص والثيم</t>
  </si>
  <si>
    <t xml:space="preserve">الكتالوج والاكتشاف</t>
  </si>
  <si>
    <t xml:space="preserve">Catalog MFE (اختياري منذ Ulmo.1) + course-discovery API</t>
  </si>
  <si>
    <t xml:space="preserve">تغطية الفهرسة</t>
  </si>
  <si>
    <t xml:space="preserve">توليد صفحات كتالوج قابلة للفهرسة</t>
  </si>
  <si>
    <t xml:space="preserve">بيانات schema.org (Course/Offer)</t>
  </si>
  <si>
    <t xml:space="preserve">غير مدمجة في النواة (مقترحة في Studio)</t>
  </si>
  <si>
    <t xml:space="preserve">غائب</t>
  </si>
  <si>
    <t xml:space="preserve">Google Rich Results Test</t>
  </si>
  <si>
    <t xml:space="preserve">حقن JSON-LD لكل مقرر (Course/CourseInstance/Offer)</t>
  </si>
  <si>
    <t xml:space="preserve">OpenGraph / Twitter Cards</t>
  </si>
  <si>
    <t xml:space="preserve">جزئي عبر المشاركة الاجتماعية</t>
  </si>
  <si>
    <t xml:space="preserve">مدقّق المشاركة</t>
  </si>
  <si>
    <t xml:space="preserve">ضبط وسوم OG/Twitter لكل صفحة مقرر</t>
  </si>
  <si>
    <t xml:space="preserve">خريطة الموقع sitemap.xml</t>
  </si>
  <si>
    <t xml:space="preserve">لا تُولَّد تلقائياً لكتالوج المقررات</t>
  </si>
  <si>
    <t xml:space="preserve">Search Console</t>
  </si>
  <si>
    <t xml:space="preserve">توليد sitemap ديناميكي للمقررات</t>
  </si>
  <si>
    <t xml:space="preserve">robots.txt</t>
  </si>
  <si>
    <t xml:space="preserve">موجود لكن غير مُحسَّن للكتالوج افتراضياً</t>
  </si>
  <si>
    <t xml:space="preserve">ضبط للسماح بفهرسة صفحات المقرر</t>
  </si>
  <si>
    <t xml:space="preserve">عناوين ووصف الميتا</t>
  </si>
  <si>
    <t xml:space="preserve">قابلة للضبط جزئياً (مقترح محرّر في Studio)</t>
  </si>
  <si>
    <t xml:space="preserve">فحص on-page</t>
  </si>
  <si>
    <t xml:space="preserve">حقل title/description مخصّص لكل مقرر</t>
  </si>
  <si>
    <t xml:space="preserve">الروابط الأساسية Canonical</t>
  </si>
  <si>
    <t xml:space="preserve">غير معيارية عبر الإصدارات/التشغيلات</t>
  </si>
  <si>
    <t xml:space="preserve">توحيد canonical على مستوى المقرر</t>
  </si>
  <si>
    <t xml:space="preserve">مؤشّرات Core Web Vitals</t>
  </si>
  <si>
    <t xml:space="preserve">تتأثّر بحجم حِزم الـ MFE</t>
  </si>
  <si>
    <t xml:space="preserve">متوسّط</t>
  </si>
  <si>
    <t xml:space="preserve">LCP / INP / CLS</t>
  </si>
  <si>
    <t xml:space="preserve">تحسين الحِزم + استخدام CDN</t>
  </si>
  <si>
    <t xml:space="preserve">تعدّد اللغات hreflang</t>
  </si>
  <si>
    <t xml:space="preserve">لا يوجد وسم hreflang تلقائي</t>
  </si>
  <si>
    <t xml:space="preserve">إضافة hreflang للنسخ اللغوية</t>
  </si>
  <si>
    <t xml:space="preserve">حقن الرأس المخصّص</t>
  </si>
  <si>
    <t xml:space="preserve">مقترح في محرّر صفحة التسجيل</t>
  </si>
  <si>
    <t xml:space="preserve">مقترح</t>
  </si>
  <si>
    <t xml:space="preserve">تمكين بكسلات التتبّع/التحقّق</t>
  </si>
  <si>
    <t xml:space="preserve">نظافة الروابط Clean URLs</t>
  </si>
  <si>
    <t xml:space="preserve">معرّفات مقرر طويلة (course-v1:org+num+run)</t>
  </si>
  <si>
    <t xml:space="preserve">slugs ودودة للقراءة</t>
  </si>
  <si>
    <t xml:space="preserve">ملاءمة الجوال</t>
  </si>
  <si>
    <t xml:space="preserve">تصميم متجاوب جيد</t>
  </si>
  <si>
    <t xml:space="preserve">جيد</t>
  </si>
  <si>
    <t xml:space="preserve">أداء الصور</t>
  </si>
  <si>
    <t xml:space="preserve">لا تحسين تلقائي افتراضي</t>
  </si>
  <si>
    <t xml:space="preserve">Lighthouse</t>
  </si>
  <si>
    <t xml:space="preserve">ضغط/WebP + lazy-load</t>
  </si>
  <si>
    <t xml:space="preserve">المعايير العالمية والتوافق — وسائل القياس المرجعية</t>
  </si>
  <si>
    <t xml:space="preserve">تجمع معايير التكامل والوصول والخصوصية والجودة وقابلية الاستخدام التي يمكن اتخاذها مقياساً. الالتزام تقديري (1-5)؛ المعايير الخارجية (QM/OSCQR/SUS/Nielsen) أدوات قياس بلا درجة التزام.</t>
  </si>
  <si>
    <t xml:space="preserve">المعيار</t>
  </si>
  <si>
    <t xml:space="preserve">المجال</t>
  </si>
  <si>
    <t xml:space="preserve">وصف موجز</t>
  </si>
  <si>
    <t xml:space="preserve">دعم Open edX</t>
  </si>
  <si>
    <t xml:space="preserve">الالتزام (1-5)</t>
  </si>
  <si>
    <t xml:space="preserve">الجهة/المرجع</t>
  </si>
  <si>
    <t xml:space="preserve">LTI 1.1</t>
  </si>
  <si>
    <t xml:space="preserve">تكامل أدوات</t>
  </si>
  <si>
    <t xml:space="preserve">تشغيل أدوات خارجية أساسي</t>
  </si>
  <si>
    <t xml:space="preserve">مدعوم بالكامل</t>
  </si>
  <si>
    <t xml:space="preserve">1EdTech</t>
  </si>
  <si>
    <t xml:space="preserve">lti-consumer-xblock</t>
  </si>
  <si>
    <t xml:space="preserve">LTI 1.3 + Advantage (DL/AGS/NRPS)</t>
  </si>
  <si>
    <t xml:space="preserve">تكامل حديث آمن + روابط عميقة ودرجات</t>
  </si>
  <si>
    <t xml:space="preserve">معتمد رسمياً (LTI Advantage Complete في Ulmo)</t>
  </si>
  <si>
    <t xml:space="preserve">شهادة 1EdTech</t>
  </si>
  <si>
    <t xml:space="preserve">SCORM 1.2 / 2004</t>
  </si>
  <si>
    <t xml:space="preserve">تغليف محتوى</t>
  </si>
  <si>
    <t xml:space="preserve">تشغيل حزم SCORM وحفظ الحالة</t>
  </si>
  <si>
    <t xml:space="preserve">مدعوم عبر XBlock (تثبيت)</t>
  </si>
  <si>
    <t xml:space="preserve">ADL</t>
  </si>
  <si>
    <t xml:space="preserve">ليس ضمن النواة</t>
  </si>
  <si>
    <t xml:space="preserve">xAPI (Tin Can)</t>
  </si>
  <si>
    <t xml:space="preserve">أحداث Actor/Verb/Object إلى LRS</t>
  </si>
  <si>
    <t xml:space="preserve">مدعوم</t>
  </si>
  <si>
    <t xml:space="preserve">ADL / 1EdTech</t>
  </si>
  <si>
    <t xml:space="preserve">event-routing + Ralph</t>
  </si>
  <si>
    <t xml:space="preserve">cmi5</t>
  </si>
  <si>
    <t xml:space="preserve">محتوى/تحليلات</t>
  </si>
  <si>
    <t xml:space="preserve">ملف تعريف xAPI للحزم</t>
  </si>
  <si>
    <t xml:space="preserve">عبر SCORM Cloud / LRS</t>
  </si>
  <si>
    <t xml:space="preserve">IMS Caliper Analytics</t>
  </si>
  <si>
    <t xml:space="preserve">أحداث Actor/Action/Activity</t>
  </si>
  <si>
    <t xml:space="preserve">عبر event-routing-backends</t>
  </si>
  <si>
    <t xml:space="preserve">QTI</t>
  </si>
  <si>
    <t xml:space="preserve">أسئلة تبادلية</t>
  </si>
  <si>
    <t xml:space="preserve">صيغة تبادل أسئلة معيارية</t>
  </si>
  <si>
    <t xml:space="preserve">غير مدعوم أصلاً</t>
  </si>
  <si>
    <t xml:space="preserve">يعتمد OLX بدلاً منه</t>
  </si>
  <si>
    <t xml:space="preserve">Common Cartridge</t>
  </si>
  <si>
    <t xml:space="preserve">حزمة محتوى تبادلية</t>
  </si>
  <si>
    <t xml:space="preserve">محدود</t>
  </si>
  <si>
    <t xml:space="preserve">صيغة Open edX الأصلية للمقررات</t>
  </si>
  <si>
    <t xml:space="preserve">أصلي</t>
  </si>
  <si>
    <t xml:space="preserve">Open edX</t>
  </si>
  <si>
    <t xml:space="preserve">استيراد/تصدير كامل</t>
  </si>
  <si>
    <t xml:space="preserve">إمكانية الوصول</t>
  </si>
  <si>
    <t xml:space="preserve">معيار الوصول للويب</t>
  </si>
  <si>
    <t xml:space="preserve">ملتزم (Paragon / VPAT)</t>
  </si>
  <si>
    <t xml:space="preserve">W3C</t>
  </si>
  <si>
    <t xml:space="preserve">Section 508 / VPAT</t>
  </si>
  <si>
    <t xml:space="preserve">توافق حكومي (أمريكي)</t>
  </si>
  <si>
    <t xml:space="preserve">موثّق عبر VPAT</t>
  </si>
  <si>
    <t xml:space="preserve">US Gov</t>
  </si>
  <si>
    <t xml:space="preserve">الخصوصية</t>
  </si>
  <si>
    <t xml:space="preserve">حق الحذف/إخفاء الهوية</t>
  </si>
  <si>
    <t xml:space="preserve">مدعوم (User Retirement)</t>
  </si>
  <si>
    <t xml:space="preserve">EU</t>
  </si>
  <si>
    <t xml:space="preserve">إخفاء هوية لا حذف فعلي</t>
  </si>
  <si>
    <t xml:space="preserve">FERPA</t>
  </si>
  <si>
    <t xml:space="preserve">الخصوصية التعليمية</t>
  </si>
  <si>
    <t xml:space="preserve">حماية بيانات الطالب</t>
  </si>
  <si>
    <t xml:space="preserve">متوافق تشغيلياً</t>
  </si>
  <si>
    <t xml:space="preserve">US</t>
  </si>
  <si>
    <t xml:space="preserve">يعتمد على المشغّل</t>
  </si>
  <si>
    <t xml:space="preserve">SOC 2 / ISO 27001</t>
  </si>
  <si>
    <t xml:space="preserve">أمن المعلومات</t>
  </si>
  <si>
    <t xml:space="preserve">ضوابط أمنية مؤسسية</t>
  </si>
  <si>
    <t xml:space="preserve">مسؤولية المشغّل/الاستضافة</t>
  </si>
  <si>
    <t xml:space="preserve">AICPA / ISO</t>
  </si>
  <si>
    <t xml:space="preserve">ليست في النواة</t>
  </si>
  <si>
    <t xml:space="preserve">PDPL / NCA ECC (السعودية)</t>
  </si>
  <si>
    <t xml:space="preserve">الخصوصية والأمن</t>
  </si>
  <si>
    <t xml:space="preserve">نظام حماية البيانات والضوابط الأساسية</t>
  </si>
  <si>
    <t xml:space="preserve">مسؤولية المشغّل</t>
  </si>
  <si>
    <t xml:space="preserve">SDAIA / NCA</t>
  </si>
  <si>
    <t xml:space="preserve">مهم للنشر المحلي</t>
  </si>
  <si>
    <t xml:space="preserve">SAML 2.0</t>
  </si>
  <si>
    <t xml:space="preserve">الهوية</t>
  </si>
  <si>
    <t xml:space="preserve">دخول موحّد مؤسسي</t>
  </si>
  <si>
    <t xml:space="preserve">OASIS</t>
  </si>
  <si>
    <t xml:space="preserve">OAuth 2.0 / OIDC</t>
  </si>
  <si>
    <t xml:space="preserve">مصادقة وتفويض</t>
  </si>
  <si>
    <t xml:space="preserve">IETF / OpenID</t>
  </si>
  <si>
    <t xml:space="preserve">Open Badges / Verifiable Credentials</t>
  </si>
  <si>
    <t xml:space="preserve">الاعتمادات</t>
  </si>
  <si>
    <t xml:space="preserve">شارات/شهادات قابلة للتحقّق</t>
  </si>
  <si>
    <t xml:space="preserve">1EdTech / W3C</t>
  </si>
  <si>
    <t xml:space="preserve">credentials + إضافات</t>
  </si>
  <si>
    <t xml:space="preserve">Quality Matters (QM) Rubric</t>
  </si>
  <si>
    <t xml:space="preserve">جودة المقرر</t>
  </si>
  <si>
    <t xml:space="preserve">معيار تصميم جودة المقرر</t>
  </si>
  <si>
    <t xml:space="preserve">معيار خارجي للقياس</t>
  </si>
  <si>
    <t xml:space="preserve">QM</t>
  </si>
  <si>
    <t xml:space="preserve">يُطبَّق على تصميم المقرر</t>
  </si>
  <si>
    <t xml:space="preserve">OSCQR</t>
  </si>
  <si>
    <t xml:space="preserve">مسطرة جودة المقرر الإلكتروني</t>
  </si>
  <si>
    <t xml:space="preserve">OPEN SUNY</t>
  </si>
  <si>
    <t xml:space="preserve">System Usability Scale (SUS)</t>
  </si>
  <si>
    <t xml:space="preserve">قابلية الاستخدام</t>
  </si>
  <si>
    <t xml:space="preserve">مقياس قابلية الاستخدام النظامي</t>
  </si>
  <si>
    <t xml:space="preserve">أداة قياس</t>
  </si>
  <si>
    <t xml:space="preserve">استبيان 10 بنود</t>
  </si>
  <si>
    <t xml:space="preserve">Nielsen Heuristics</t>
  </si>
  <si>
    <t xml:space="preserve">10 مبادئ هيوريستية للتقييم</t>
  </si>
  <si>
    <t xml:space="preserve">NN/g</t>
  </si>
  <si>
    <t xml:space="preserve">التدويل</t>
  </si>
  <si>
    <t xml:space="preserve">معيار المحارف واللغات</t>
  </si>
  <si>
    <t xml:space="preserve">Unicode</t>
  </si>
  <si>
    <t xml:space="preserve">أساس RTL / i18n</t>
  </si>
  <si>
    <t xml:space="preserve">مصفوفة التقييم المرجعي الموزون لـ Open edX</t>
  </si>
  <si>
    <t xml:space="preserve">تقييم موزون عبر عشرة محاور. الدرجة المرجّحة = الوزن × الدرجة. الدرجة الإجمالية على مقياس 5، والنسبة المئوية منها. الأوزان والدرجات مدخلات قابلة للتعديل.</t>
  </si>
  <si>
    <t xml:space="preserve">المحور</t>
  </si>
  <si>
    <t xml:space="preserve">الوزن %</t>
  </si>
  <si>
    <t xml:space="preserve">الدرجة (1-5)</t>
  </si>
  <si>
    <t xml:space="preserve">الدرجة المرجّحة</t>
  </si>
  <si>
    <t xml:space="preserve">ملاحظة</t>
  </si>
  <si>
    <t xml:space="preserve">الجانب البرمجي/المعماري</t>
  </si>
  <si>
    <t xml:space="preserve">معمارية حديثة قابلة للتوسعة (MFEs + IDAs + XBlocks)</t>
  </si>
  <si>
    <t xml:space="preserve">التوافق مع المعايير</t>
  </si>
  <si>
    <t xml:space="preserve">LTI Advantage + SCORM + xAPI + Caliper</t>
  </si>
  <si>
    <t xml:space="preserve">سهولة الاستخدام (UX)</t>
  </si>
  <si>
    <t xml:space="preserve">قوي لكن بمنحنى تعلّم أعلى للمؤلّف/المشغّل</t>
  </si>
  <si>
    <t xml:space="preserve">الجماليات والتصميم</t>
  </si>
  <si>
    <t xml:space="preserve">Paragon ناضج واتساق بصري جيد</t>
  </si>
  <si>
    <t xml:space="preserve">خيارات التصميم والتخصيص</t>
  </si>
  <si>
    <t xml:space="preserve">Slots + Brand + Design Tokens</t>
  </si>
  <si>
    <t xml:space="preserve">إمكانية الوصول (a11y)</t>
  </si>
  <si>
    <t xml:space="preserve">التزام WCAG 2.2 AA + VPAT</t>
  </si>
  <si>
    <t xml:space="preserve">SEO</t>
  </si>
  <si>
    <t xml:space="preserve">أضعف الجوانب بسبب CSR وغياب schema من النواة</t>
  </si>
  <si>
    <t xml:space="preserve">الأمان والخصوصية</t>
  </si>
  <si>
    <t xml:space="preserve">RBAC + GDPR Retirement + SSO</t>
  </si>
  <si>
    <t xml:space="preserve">دعم العربية / RTL</t>
  </si>
  <si>
    <t xml:space="preserve">مدعوم عبر Atlas وParagon ويحتاج ضبطاً</t>
  </si>
  <si>
    <t xml:space="preserve">قابلية التوسّع والتشغيل</t>
  </si>
  <si>
    <t xml:space="preserve">Tutor + IDAs + Aspects</t>
  </si>
  <si>
    <t xml:space="preserve">إجمالي الأوزان (تحقّق = 100%)</t>
  </si>
  <si>
    <t xml:space="preserve">الدرجة الإجمالية الموزونة (من 5)</t>
  </si>
  <si>
    <t xml:space="preserve">النسبة المئوية الإجمالية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</si>
</sst>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375623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5" customFormat="false" ht="57.75" hidden="false" customHeight="true" outlineLevel="0" collapsed="false">
      <c r="A5" s="4" t="s">
        <v>3</v>
      </c>
      <c r="B5" s="4"/>
      <c r="C5" s="4"/>
      <c r="D5" s="4"/>
      <c r="E5" s="4"/>
    </row>
    <row r="6" customFormat="false" ht="24" hidden="false" customHeight="true" outlineLevel="0" collapsed="false">
      <c r="A6" s="3" t="s">
        <v>4</v>
      </c>
      <c r="B6" s="3"/>
      <c r="C6" s="3"/>
      <c r="D6" s="3"/>
      <c r="E6" s="3"/>
    </row>
    <row r="7" customFormat="false" ht="30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 customFormat="false" ht="15" hidden="false" customHeight="false" outlineLevel="0" collapsed="false">
      <c r="A8" s="6" t="s">
        <v>10</v>
      </c>
      <c r="B8" s="7" t="n">
        <f aca="false">COUNTA('واجهة الطالب'!B5:B36)</f>
        <v>32</v>
      </c>
      <c r="C8" s="8" t="n">
        <f aca="false">AVERAGE('واجهة الطالب'!G5:G36)</f>
        <v>3.84375</v>
      </c>
      <c r="D8" s="8" t="n">
        <f aca="false">AVERAGE('واجهة الطالب'!H5:H36)</f>
        <v>4.375</v>
      </c>
      <c r="E8" s="6" t="s">
        <v>11</v>
      </c>
    </row>
    <row r="9" customFormat="false" ht="15" hidden="false" customHeight="false" outlineLevel="0" collapsed="false">
      <c r="A9" s="9" t="s">
        <v>12</v>
      </c>
      <c r="B9" s="10" t="n">
        <f aca="false">COUNTA('واجهة المؤلف (Studio)'!B5:B32)</f>
        <v>28</v>
      </c>
      <c r="C9" s="11" t="n">
        <f aca="false">AVERAGE('واجهة المؤلف (Studio)'!G5:G32)</f>
        <v>3.82142857142857</v>
      </c>
      <c r="D9" s="11" t="n">
        <f aca="false">AVERAGE('واجهة المؤلف (Studio)'!H5:H32)</f>
        <v>4.42857142857143</v>
      </c>
      <c r="E9" s="9" t="s">
        <v>13</v>
      </c>
    </row>
    <row r="10" customFormat="false" ht="15" hidden="false" customHeight="false" outlineLevel="0" collapsed="false">
      <c r="A10" s="6" t="s">
        <v>14</v>
      </c>
      <c r="B10" s="7" t="n">
        <f aca="false">COUNTA('لوحة المعلم'!B5:B20)</f>
        <v>16</v>
      </c>
      <c r="C10" s="8" t="n">
        <f aca="false">AVERAGE('لوحة المعلم'!G5:G20)</f>
        <v>4.0625</v>
      </c>
      <c r="D10" s="8" t="n">
        <f aca="false">AVERAGE('لوحة المعلم'!H5:H20)</f>
        <v>4.25</v>
      </c>
      <c r="E10" s="6" t="s">
        <v>15</v>
      </c>
    </row>
    <row r="11" customFormat="false" ht="15" hidden="false" customHeight="false" outlineLevel="0" collapsed="false">
      <c r="A11" s="9" t="s">
        <v>16</v>
      </c>
      <c r="B11" s="10" t="n">
        <f aca="false">COUNTA('الإدارة والتشغيل'!B5:B25)</f>
        <v>21</v>
      </c>
      <c r="C11" s="11" t="n">
        <f aca="false">AVERAGE('الإدارة والتشغيل'!G5:G25)</f>
        <v>3.80952380952381</v>
      </c>
      <c r="D11" s="11" t="n">
        <f aca="false">AVERAGE('الإدارة والتشغيل'!H5:H25)</f>
        <v>4.28571428571429</v>
      </c>
      <c r="E11" s="9" t="s">
        <v>17</v>
      </c>
    </row>
    <row r="12" customFormat="false" ht="15" hidden="false" customHeight="false" outlineLevel="0" collapsed="false">
      <c r="A12" s="12" t="s">
        <v>18</v>
      </c>
      <c r="B12" s="13" t="n">
        <f aca="false">SUM(B8:B11)</f>
        <v>97</v>
      </c>
      <c r="C12" s="14" t="n">
        <f aca="false">AVERAGE(C8:C11)</f>
        <v>3.8843005952381</v>
      </c>
      <c r="D12" s="14" t="n">
        <f aca="false">AVERAGE(D8:D11)</f>
        <v>4.33482142857143</v>
      </c>
      <c r="E12" s="15"/>
    </row>
    <row r="14" customFormat="false" ht="24" hidden="false" customHeight="true" outlineLevel="0" collapsed="false">
      <c r="A14" s="3" t="s">
        <v>19</v>
      </c>
      <c r="B14" s="3"/>
      <c r="C14" s="3"/>
      <c r="D14" s="3"/>
      <c r="E14" s="3"/>
    </row>
    <row r="15" customFormat="false" ht="21.75" hidden="false" customHeight="true" outlineLevel="0" collapsed="false">
      <c r="A15" s="4" t="s">
        <v>20</v>
      </c>
      <c r="B15" s="4"/>
      <c r="C15" s="4"/>
      <c r="D15" s="4"/>
      <c r="E15" s="4"/>
    </row>
    <row r="16" customFormat="false" ht="21.75" hidden="false" customHeight="true" outlineLevel="0" collapsed="false">
      <c r="A16" s="4" t="s">
        <v>21</v>
      </c>
      <c r="B16" s="4"/>
      <c r="C16" s="4"/>
      <c r="D16" s="4"/>
      <c r="E16" s="4"/>
    </row>
    <row r="17" customFormat="false" ht="21.75" hidden="false" customHeight="true" outlineLevel="0" collapsed="false">
      <c r="A17" s="4" t="s">
        <v>22</v>
      </c>
      <c r="B17" s="4"/>
      <c r="C17" s="4"/>
      <c r="D17" s="4"/>
      <c r="E17" s="4"/>
    </row>
    <row r="18" customFormat="false" ht="21.75" hidden="false" customHeight="true" outlineLevel="0" collapsed="false">
      <c r="A18" s="4" t="s">
        <v>23</v>
      </c>
      <c r="B18" s="4"/>
      <c r="C18" s="4"/>
      <c r="D18" s="4"/>
      <c r="E18" s="4"/>
    </row>
    <row r="19" customFormat="false" ht="21.75" hidden="false" customHeight="true" outlineLevel="0" collapsed="false">
      <c r="A19" s="4" t="s">
        <v>24</v>
      </c>
      <c r="B19" s="4"/>
      <c r="C19" s="4"/>
      <c r="D19" s="4"/>
      <c r="E19" s="4"/>
    </row>
    <row r="21" customFormat="false" ht="24" hidden="false" customHeight="true" outlineLevel="0" collapsed="false">
      <c r="A21" s="3" t="s">
        <v>25</v>
      </c>
      <c r="B21" s="3"/>
      <c r="C21" s="3"/>
      <c r="D21" s="3"/>
      <c r="E21" s="3"/>
    </row>
    <row r="22" customFormat="false" ht="30" hidden="false" customHeight="true" outlineLevel="0" collapsed="false">
      <c r="A22" s="4" t="s">
        <v>26</v>
      </c>
      <c r="B22" s="4"/>
      <c r="C22" s="4"/>
      <c r="D22" s="4"/>
      <c r="E22" s="4"/>
    </row>
    <row r="23" customFormat="false" ht="30" hidden="false" customHeight="true" outlineLevel="0" collapsed="false">
      <c r="A23" s="4" t="s">
        <v>27</v>
      </c>
      <c r="B23" s="4"/>
      <c r="C23" s="4"/>
      <c r="D23" s="4"/>
      <c r="E23" s="4"/>
    </row>
    <row r="24" customFormat="false" ht="30" hidden="false" customHeight="true" outlineLevel="0" collapsed="false">
      <c r="A24" s="4" t="s">
        <v>28</v>
      </c>
      <c r="B24" s="4"/>
      <c r="C24" s="4"/>
      <c r="D24" s="4"/>
      <c r="E24" s="4"/>
    </row>
    <row r="25" customFormat="false" ht="30" hidden="false" customHeight="true" outlineLevel="0" collapsed="false">
      <c r="A25" s="4" t="s">
        <v>29</v>
      </c>
      <c r="B25" s="4"/>
      <c r="C25" s="4"/>
      <c r="D25" s="4"/>
      <c r="E25" s="4"/>
    </row>
    <row r="26" customFormat="false" ht="30" hidden="false" customHeight="true" outlineLevel="0" collapsed="false">
      <c r="A26" s="4" t="s">
        <v>30</v>
      </c>
      <c r="B26" s="4"/>
      <c r="C26" s="4"/>
      <c r="D26" s="4"/>
      <c r="E26" s="4"/>
    </row>
    <row r="28" customFormat="false" ht="24" hidden="false" customHeight="true" outlineLevel="0" collapsed="false">
      <c r="A28" s="3" t="s">
        <v>31</v>
      </c>
      <c r="B28" s="3"/>
      <c r="C28" s="3"/>
      <c r="D28" s="3"/>
      <c r="E28" s="3"/>
    </row>
    <row r="29" customFormat="false" ht="19.5" hidden="false" customHeight="true" outlineLevel="0" collapsed="false">
      <c r="A29" s="4" t="s">
        <v>32</v>
      </c>
      <c r="B29" s="4"/>
      <c r="C29" s="4"/>
      <c r="D29" s="4"/>
      <c r="E29" s="4"/>
    </row>
  </sheetData>
  <mergeCells count="19">
    <mergeCell ref="A1:E1"/>
    <mergeCell ref="A2:E2"/>
    <mergeCell ref="A4:E4"/>
    <mergeCell ref="A5:E5"/>
    <mergeCell ref="A6:E6"/>
    <mergeCell ref="A14:E14"/>
    <mergeCell ref="A15:E15"/>
    <mergeCell ref="A16:E16"/>
    <mergeCell ref="A17:E17"/>
    <mergeCell ref="A18:E18"/>
    <mergeCell ref="A19:E19"/>
    <mergeCell ref="A21:E21"/>
    <mergeCell ref="A22:E22"/>
    <mergeCell ref="A23:E23"/>
    <mergeCell ref="A24:E24"/>
    <mergeCell ref="A25:E25"/>
    <mergeCell ref="A26:E26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34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16" t="s">
        <v>35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</row>
    <row r="5" customFormat="false" ht="15" hidden="false" customHeight="false" outlineLevel="0" collapsed="false">
      <c r="A5" s="6" t="s">
        <v>41</v>
      </c>
      <c r="B5" s="6" t="s">
        <v>42</v>
      </c>
      <c r="C5" s="6" t="s">
        <v>43</v>
      </c>
      <c r="D5" s="17" t="s">
        <v>44</v>
      </c>
      <c r="E5" s="6" t="s">
        <v>45</v>
      </c>
      <c r="F5" s="17" t="s">
        <v>46</v>
      </c>
    </row>
    <row r="6" customFormat="false" ht="15" hidden="false" customHeight="false" outlineLevel="0" collapsed="false">
      <c r="A6" s="9" t="s">
        <v>47</v>
      </c>
      <c r="B6" s="9" t="s">
        <v>42</v>
      </c>
      <c r="C6" s="9" t="s">
        <v>43</v>
      </c>
      <c r="D6" s="18" t="s">
        <v>48</v>
      </c>
      <c r="E6" s="9" t="s">
        <v>49</v>
      </c>
      <c r="F6" s="18" t="s">
        <v>50</v>
      </c>
    </row>
    <row r="7" customFormat="false" ht="15" hidden="false" customHeight="false" outlineLevel="0" collapsed="false">
      <c r="A7" s="6" t="s">
        <v>51</v>
      </c>
      <c r="B7" s="6" t="s">
        <v>52</v>
      </c>
      <c r="C7" s="6" t="s">
        <v>53</v>
      </c>
      <c r="D7" s="17" t="s">
        <v>54</v>
      </c>
      <c r="E7" s="6" t="s">
        <v>55</v>
      </c>
      <c r="F7" s="17" t="s">
        <v>56</v>
      </c>
    </row>
    <row r="8" customFormat="false" ht="15" hidden="false" customHeight="false" outlineLevel="0" collapsed="false">
      <c r="A8" s="9" t="s">
        <v>57</v>
      </c>
      <c r="B8" s="9" t="s">
        <v>58</v>
      </c>
      <c r="C8" s="9" t="s">
        <v>59</v>
      </c>
      <c r="D8" s="18" t="s">
        <v>60</v>
      </c>
      <c r="E8" s="9" t="s">
        <v>61</v>
      </c>
      <c r="F8" s="18" t="s">
        <v>62</v>
      </c>
    </row>
    <row r="9" customFormat="false" ht="23.85" hidden="false" customHeight="false" outlineLevel="0" collapsed="false">
      <c r="A9" s="6" t="s">
        <v>63</v>
      </c>
      <c r="B9" s="6" t="s">
        <v>64</v>
      </c>
      <c r="C9" s="6" t="s">
        <v>65</v>
      </c>
      <c r="D9" s="17" t="s">
        <v>66</v>
      </c>
      <c r="E9" s="6" t="s">
        <v>67</v>
      </c>
      <c r="F9" s="17" t="s">
        <v>68</v>
      </c>
    </row>
    <row r="10" customFormat="false" ht="15" hidden="false" customHeight="false" outlineLevel="0" collapsed="false">
      <c r="A10" s="9" t="s">
        <v>69</v>
      </c>
      <c r="B10" s="9" t="s">
        <v>70</v>
      </c>
      <c r="C10" s="9" t="s">
        <v>71</v>
      </c>
      <c r="D10" s="18" t="s">
        <v>72</v>
      </c>
      <c r="E10" s="9" t="s">
        <v>67</v>
      </c>
      <c r="F10" s="18" t="s">
        <v>73</v>
      </c>
    </row>
    <row r="11" customFormat="false" ht="15" hidden="false" customHeight="false" outlineLevel="0" collapsed="false">
      <c r="A11" s="6" t="s">
        <v>74</v>
      </c>
      <c r="B11" s="6" t="s">
        <v>75</v>
      </c>
      <c r="C11" s="6" t="s">
        <v>76</v>
      </c>
      <c r="D11" s="17" t="s">
        <v>77</v>
      </c>
      <c r="E11" s="6" t="s">
        <v>61</v>
      </c>
      <c r="F11" s="17" t="s">
        <v>78</v>
      </c>
    </row>
    <row r="12" customFormat="false" ht="15" hidden="false" customHeight="false" outlineLevel="0" collapsed="false">
      <c r="A12" s="9" t="s">
        <v>79</v>
      </c>
      <c r="B12" s="9" t="s">
        <v>80</v>
      </c>
      <c r="C12" s="9" t="s">
        <v>43</v>
      </c>
      <c r="D12" s="18" t="s">
        <v>81</v>
      </c>
      <c r="E12" s="9" t="s">
        <v>82</v>
      </c>
      <c r="F12" s="18" t="s">
        <v>83</v>
      </c>
    </row>
    <row r="13" customFormat="false" ht="15" hidden="false" customHeight="false" outlineLevel="0" collapsed="false">
      <c r="A13" s="6" t="s">
        <v>84</v>
      </c>
      <c r="B13" s="6" t="s">
        <v>80</v>
      </c>
      <c r="C13" s="6" t="s">
        <v>43</v>
      </c>
      <c r="D13" s="17" t="s">
        <v>85</v>
      </c>
      <c r="E13" s="6" t="s">
        <v>86</v>
      </c>
      <c r="F13" s="17" t="s">
        <v>87</v>
      </c>
    </row>
    <row r="14" customFormat="false" ht="15" hidden="false" customHeight="false" outlineLevel="0" collapsed="false">
      <c r="A14" s="9" t="s">
        <v>88</v>
      </c>
      <c r="B14" s="9" t="s">
        <v>80</v>
      </c>
      <c r="C14" s="9" t="s">
        <v>43</v>
      </c>
      <c r="D14" s="18" t="s">
        <v>89</v>
      </c>
      <c r="E14" s="9" t="s">
        <v>90</v>
      </c>
      <c r="F14" s="18" t="s">
        <v>91</v>
      </c>
    </row>
    <row r="15" customFormat="false" ht="15" hidden="false" customHeight="false" outlineLevel="0" collapsed="false">
      <c r="A15" s="6" t="s">
        <v>92</v>
      </c>
      <c r="B15" s="6" t="s">
        <v>93</v>
      </c>
      <c r="C15" s="6" t="s">
        <v>94</v>
      </c>
      <c r="D15" s="17" t="s">
        <v>95</v>
      </c>
      <c r="E15" s="6" t="s">
        <v>96</v>
      </c>
      <c r="F15" s="17" t="s">
        <v>97</v>
      </c>
    </row>
    <row r="16" customFormat="false" ht="15" hidden="false" customHeight="false" outlineLevel="0" collapsed="false">
      <c r="A16" s="9" t="s">
        <v>98</v>
      </c>
      <c r="B16" s="9" t="s">
        <v>80</v>
      </c>
      <c r="C16" s="9" t="s">
        <v>43</v>
      </c>
      <c r="D16" s="18" t="s">
        <v>99</v>
      </c>
      <c r="E16" s="9" t="s">
        <v>96</v>
      </c>
      <c r="F16" s="18" t="s">
        <v>100</v>
      </c>
    </row>
    <row r="17" customFormat="false" ht="15" hidden="false" customHeight="false" outlineLevel="0" collapsed="false">
      <c r="A17" s="6" t="s">
        <v>101</v>
      </c>
      <c r="B17" s="6" t="s">
        <v>102</v>
      </c>
      <c r="C17" s="6" t="s">
        <v>103</v>
      </c>
      <c r="D17" s="17" t="s">
        <v>104</v>
      </c>
      <c r="E17" s="6" t="s">
        <v>61</v>
      </c>
      <c r="F17" s="17" t="s">
        <v>100</v>
      </c>
    </row>
    <row r="18" customFormat="false" ht="15" hidden="false" customHeight="false" outlineLevel="0" collapsed="false">
      <c r="A18" s="9" t="s">
        <v>105</v>
      </c>
      <c r="B18" s="9" t="s">
        <v>102</v>
      </c>
      <c r="C18" s="9" t="s">
        <v>106</v>
      </c>
      <c r="D18" s="18" t="s">
        <v>107</v>
      </c>
      <c r="E18" s="9" t="s">
        <v>61</v>
      </c>
      <c r="F18" s="18" t="s">
        <v>100</v>
      </c>
    </row>
    <row r="19" customFormat="false" ht="15" hidden="false" customHeight="false" outlineLevel="0" collapsed="false">
      <c r="A19" s="6" t="s">
        <v>108</v>
      </c>
      <c r="B19" s="6" t="s">
        <v>109</v>
      </c>
      <c r="C19" s="6" t="s">
        <v>100</v>
      </c>
      <c r="D19" s="17" t="s">
        <v>110</v>
      </c>
      <c r="E19" s="6" t="s">
        <v>61</v>
      </c>
      <c r="F19" s="17" t="s">
        <v>111</v>
      </c>
    </row>
    <row r="20" customFormat="false" ht="15" hidden="false" customHeight="false" outlineLevel="0" collapsed="false">
      <c r="A20" s="9" t="s">
        <v>112</v>
      </c>
      <c r="B20" s="9" t="s">
        <v>113</v>
      </c>
      <c r="C20" s="9" t="s">
        <v>100</v>
      </c>
      <c r="D20" s="18" t="s">
        <v>114</v>
      </c>
      <c r="E20" s="9" t="s">
        <v>61</v>
      </c>
      <c r="F20" s="18" t="s">
        <v>100</v>
      </c>
    </row>
    <row r="21" customFormat="false" ht="15" hidden="false" customHeight="false" outlineLevel="0" collapsed="false">
      <c r="A21" s="6" t="s">
        <v>115</v>
      </c>
      <c r="B21" s="6" t="s">
        <v>116</v>
      </c>
      <c r="C21" s="6" t="s">
        <v>117</v>
      </c>
      <c r="D21" s="17" t="s">
        <v>118</v>
      </c>
      <c r="E21" s="6" t="s">
        <v>61</v>
      </c>
      <c r="F21" s="17" t="s">
        <v>119</v>
      </c>
    </row>
    <row r="22" customFormat="false" ht="15" hidden="false" customHeight="false" outlineLevel="0" collapsed="false">
      <c r="A22" s="9" t="s">
        <v>120</v>
      </c>
      <c r="B22" s="9" t="s">
        <v>121</v>
      </c>
      <c r="C22" s="9" t="s">
        <v>122</v>
      </c>
      <c r="D22" s="18" t="s">
        <v>123</v>
      </c>
      <c r="E22" s="9" t="s">
        <v>124</v>
      </c>
      <c r="F22" s="18" t="s">
        <v>125</v>
      </c>
    </row>
    <row r="23" customFormat="false" ht="15" hidden="false" customHeight="false" outlineLevel="0" collapsed="false">
      <c r="A23" s="6" t="s">
        <v>126</v>
      </c>
      <c r="B23" s="6" t="s">
        <v>127</v>
      </c>
      <c r="C23" s="6" t="s">
        <v>117</v>
      </c>
      <c r="D23" s="17" t="s">
        <v>128</v>
      </c>
      <c r="E23" s="6" t="s">
        <v>61</v>
      </c>
      <c r="F23" s="17" t="s">
        <v>100</v>
      </c>
    </row>
    <row r="24" customFormat="false" ht="15" hidden="false" customHeight="false" outlineLevel="0" collapsed="false">
      <c r="A24" s="9" t="s">
        <v>129</v>
      </c>
      <c r="B24" s="9" t="s">
        <v>130</v>
      </c>
      <c r="C24" s="9" t="s">
        <v>117</v>
      </c>
      <c r="D24" s="18" t="s">
        <v>131</v>
      </c>
      <c r="E24" s="9" t="s">
        <v>132</v>
      </c>
      <c r="F24" s="18" t="s">
        <v>133</v>
      </c>
    </row>
    <row r="25" customFormat="false" ht="15" hidden="false" customHeight="false" outlineLevel="0" collapsed="false">
      <c r="A25" s="6" t="s">
        <v>134</v>
      </c>
      <c r="B25" s="6" t="s">
        <v>135</v>
      </c>
      <c r="C25" s="6" t="s">
        <v>136</v>
      </c>
      <c r="D25" s="17" t="s">
        <v>137</v>
      </c>
      <c r="E25" s="6" t="s">
        <v>49</v>
      </c>
      <c r="F25" s="17" t="s">
        <v>138</v>
      </c>
    </row>
    <row r="26" customFormat="false" ht="15" hidden="false" customHeight="false" outlineLevel="0" collapsed="false">
      <c r="A26" s="9" t="s">
        <v>139</v>
      </c>
      <c r="B26" s="9" t="s">
        <v>140</v>
      </c>
      <c r="C26" s="9" t="s">
        <v>117</v>
      </c>
      <c r="D26" s="18" t="s">
        <v>141</v>
      </c>
      <c r="E26" s="9" t="s">
        <v>61</v>
      </c>
      <c r="F26" s="18" t="s">
        <v>142</v>
      </c>
    </row>
    <row r="27" customFormat="false" ht="15" hidden="false" customHeight="false" outlineLevel="0" collapsed="false">
      <c r="A27" s="6" t="s">
        <v>143</v>
      </c>
      <c r="B27" s="6" t="s">
        <v>144</v>
      </c>
      <c r="C27" s="6" t="s">
        <v>145</v>
      </c>
      <c r="D27" s="17" t="s">
        <v>146</v>
      </c>
      <c r="E27" s="6" t="s">
        <v>96</v>
      </c>
      <c r="F27" s="17" t="s">
        <v>147</v>
      </c>
    </row>
    <row r="28" customFormat="false" ht="15" hidden="false" customHeight="false" outlineLevel="0" collapsed="false">
      <c r="A28" s="9" t="s">
        <v>148</v>
      </c>
      <c r="B28" s="9" t="s">
        <v>149</v>
      </c>
      <c r="C28" s="9" t="s">
        <v>150</v>
      </c>
      <c r="D28" s="18" t="s">
        <v>151</v>
      </c>
      <c r="E28" s="9" t="s">
        <v>152</v>
      </c>
      <c r="F28" s="18" t="s">
        <v>153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156</v>
      </c>
      <c r="B4" s="16" t="s">
        <v>157</v>
      </c>
      <c r="C4" s="16" t="s">
        <v>158</v>
      </c>
      <c r="D4" s="16" t="s">
        <v>159</v>
      </c>
      <c r="E4" s="16" t="s">
        <v>160</v>
      </c>
      <c r="F4" s="16" t="s">
        <v>161</v>
      </c>
      <c r="G4" s="16" t="s">
        <v>162</v>
      </c>
      <c r="H4" s="16" t="s">
        <v>163</v>
      </c>
    </row>
    <row r="5" customFormat="false" ht="15" hidden="false" customHeight="false" outlineLevel="0" collapsed="false">
      <c r="A5" s="19" t="n">
        <v>1</v>
      </c>
      <c r="B5" s="17" t="s">
        <v>164</v>
      </c>
      <c r="C5" s="6" t="s">
        <v>165</v>
      </c>
      <c r="D5" s="17" t="s">
        <v>166</v>
      </c>
      <c r="E5" s="17" t="s">
        <v>167</v>
      </c>
      <c r="F5" s="17" t="s">
        <v>100</v>
      </c>
      <c r="G5" s="19" t="n">
        <v>5</v>
      </c>
      <c r="H5" s="19" t="n">
        <v>5</v>
      </c>
    </row>
    <row r="6" customFormat="false" ht="23.85" hidden="false" customHeight="false" outlineLevel="0" collapsed="false">
      <c r="A6" s="20" t="n">
        <v>2</v>
      </c>
      <c r="B6" s="18" t="s">
        <v>168</v>
      </c>
      <c r="C6" s="9" t="s">
        <v>165</v>
      </c>
      <c r="D6" s="18" t="s">
        <v>169</v>
      </c>
      <c r="E6" s="18" t="s">
        <v>170</v>
      </c>
      <c r="F6" s="18" t="s">
        <v>171</v>
      </c>
      <c r="G6" s="20" t="n">
        <v>4</v>
      </c>
      <c r="H6" s="20" t="n">
        <v>5</v>
      </c>
    </row>
    <row r="7" customFormat="false" ht="23.85" hidden="false" customHeight="false" outlineLevel="0" collapsed="false">
      <c r="A7" s="19" t="n">
        <v>3</v>
      </c>
      <c r="B7" s="17" t="s">
        <v>172</v>
      </c>
      <c r="C7" s="6" t="s">
        <v>165</v>
      </c>
      <c r="D7" s="17" t="s">
        <v>173</v>
      </c>
      <c r="E7" s="17" t="s">
        <v>174</v>
      </c>
      <c r="F7" s="17" t="s">
        <v>100</v>
      </c>
      <c r="G7" s="19" t="n">
        <v>5</v>
      </c>
      <c r="H7" s="19" t="n">
        <v>3</v>
      </c>
    </row>
    <row r="8" customFormat="false" ht="15" hidden="false" customHeight="false" outlineLevel="0" collapsed="false">
      <c r="A8" s="20" t="n">
        <v>4</v>
      </c>
      <c r="B8" s="18" t="s">
        <v>175</v>
      </c>
      <c r="C8" s="9" t="s">
        <v>165</v>
      </c>
      <c r="D8" s="18" t="s">
        <v>176</v>
      </c>
      <c r="E8" s="18" t="s">
        <v>177</v>
      </c>
      <c r="F8" s="18" t="s">
        <v>100</v>
      </c>
      <c r="G8" s="20" t="n">
        <v>5</v>
      </c>
      <c r="H8" s="20" t="n">
        <v>4</v>
      </c>
    </row>
    <row r="9" customFormat="false" ht="15" hidden="false" customHeight="false" outlineLevel="0" collapsed="false">
      <c r="A9" s="19" t="n">
        <v>5</v>
      </c>
      <c r="B9" s="17" t="s">
        <v>178</v>
      </c>
      <c r="C9" s="6" t="s">
        <v>165</v>
      </c>
      <c r="D9" s="17" t="s">
        <v>179</v>
      </c>
      <c r="E9" s="17" t="s">
        <v>180</v>
      </c>
      <c r="F9" s="17" t="s">
        <v>100</v>
      </c>
      <c r="G9" s="19" t="n">
        <v>3</v>
      </c>
      <c r="H9" s="19" t="n">
        <v>4</v>
      </c>
    </row>
    <row r="10" customFormat="false" ht="15" hidden="false" customHeight="false" outlineLevel="0" collapsed="false">
      <c r="A10" s="20" t="n">
        <v>6</v>
      </c>
      <c r="B10" s="18" t="s">
        <v>181</v>
      </c>
      <c r="C10" s="9" t="s">
        <v>182</v>
      </c>
      <c r="D10" s="18" t="s">
        <v>183</v>
      </c>
      <c r="E10" s="18" t="s">
        <v>184</v>
      </c>
      <c r="F10" s="18" t="s">
        <v>100</v>
      </c>
      <c r="G10" s="20" t="n">
        <v>5</v>
      </c>
      <c r="H10" s="20" t="n">
        <v>5</v>
      </c>
    </row>
    <row r="11" customFormat="false" ht="15" hidden="false" customHeight="false" outlineLevel="0" collapsed="false">
      <c r="A11" s="19" t="n">
        <v>7</v>
      </c>
      <c r="B11" s="17" t="s">
        <v>185</v>
      </c>
      <c r="C11" s="6" t="s">
        <v>182</v>
      </c>
      <c r="D11" s="17" t="s">
        <v>186</v>
      </c>
      <c r="E11" s="17" t="s">
        <v>184</v>
      </c>
      <c r="F11" s="17" t="s">
        <v>100</v>
      </c>
      <c r="G11" s="19" t="n">
        <v>3</v>
      </c>
      <c r="H11" s="19" t="n">
        <v>4</v>
      </c>
    </row>
    <row r="12" customFormat="false" ht="15" hidden="false" customHeight="false" outlineLevel="0" collapsed="false">
      <c r="A12" s="20" t="n">
        <v>8</v>
      </c>
      <c r="B12" s="18" t="s">
        <v>187</v>
      </c>
      <c r="C12" s="9" t="s">
        <v>188</v>
      </c>
      <c r="D12" s="18" t="s">
        <v>189</v>
      </c>
      <c r="E12" s="18" t="s">
        <v>190</v>
      </c>
      <c r="F12" s="18" t="s">
        <v>100</v>
      </c>
      <c r="G12" s="20" t="n">
        <v>5</v>
      </c>
      <c r="H12" s="20" t="n">
        <v>5</v>
      </c>
    </row>
    <row r="13" customFormat="false" ht="15" hidden="false" customHeight="false" outlineLevel="0" collapsed="false">
      <c r="A13" s="19" t="n">
        <v>9</v>
      </c>
      <c r="B13" s="17" t="s">
        <v>191</v>
      </c>
      <c r="C13" s="6" t="s">
        <v>188</v>
      </c>
      <c r="D13" s="17" t="s">
        <v>192</v>
      </c>
      <c r="E13" s="17" t="s">
        <v>190</v>
      </c>
      <c r="F13" s="17" t="s">
        <v>100</v>
      </c>
      <c r="G13" s="19" t="n">
        <v>5</v>
      </c>
      <c r="H13" s="19" t="n">
        <v>5</v>
      </c>
    </row>
    <row r="14" customFormat="false" ht="15" hidden="false" customHeight="false" outlineLevel="0" collapsed="false">
      <c r="A14" s="20" t="n">
        <v>10</v>
      </c>
      <c r="B14" s="18" t="s">
        <v>193</v>
      </c>
      <c r="C14" s="9" t="s">
        <v>188</v>
      </c>
      <c r="D14" s="18" t="s">
        <v>194</v>
      </c>
      <c r="E14" s="18" t="s">
        <v>195</v>
      </c>
      <c r="F14" s="18" t="s">
        <v>196</v>
      </c>
      <c r="G14" s="20" t="n">
        <v>5</v>
      </c>
      <c r="H14" s="20" t="n">
        <v>5</v>
      </c>
    </row>
    <row r="15" customFormat="false" ht="15" hidden="false" customHeight="false" outlineLevel="0" collapsed="false">
      <c r="A15" s="19" t="n">
        <v>11</v>
      </c>
      <c r="B15" s="17" t="s">
        <v>197</v>
      </c>
      <c r="C15" s="6" t="s">
        <v>188</v>
      </c>
      <c r="D15" s="17" t="s">
        <v>198</v>
      </c>
      <c r="E15" s="17" t="s">
        <v>195</v>
      </c>
      <c r="F15" s="17" t="s">
        <v>100</v>
      </c>
      <c r="G15" s="19" t="n">
        <v>4</v>
      </c>
      <c r="H15" s="19" t="n">
        <v>5</v>
      </c>
    </row>
    <row r="16" customFormat="false" ht="15" hidden="false" customHeight="false" outlineLevel="0" collapsed="false">
      <c r="A16" s="20" t="n">
        <v>12</v>
      </c>
      <c r="B16" s="18" t="s">
        <v>199</v>
      </c>
      <c r="C16" s="9" t="s">
        <v>200</v>
      </c>
      <c r="D16" s="18" t="s">
        <v>201</v>
      </c>
      <c r="E16" s="18" t="s">
        <v>202</v>
      </c>
      <c r="F16" s="18" t="s">
        <v>100</v>
      </c>
      <c r="G16" s="20" t="n">
        <v>4</v>
      </c>
      <c r="H16" s="20" t="n">
        <v>5</v>
      </c>
    </row>
    <row r="17" customFormat="false" ht="15" hidden="false" customHeight="false" outlineLevel="0" collapsed="false">
      <c r="A17" s="19" t="n">
        <v>13</v>
      </c>
      <c r="B17" s="17" t="s">
        <v>203</v>
      </c>
      <c r="C17" s="6" t="s">
        <v>200</v>
      </c>
      <c r="D17" s="17" t="s">
        <v>204</v>
      </c>
      <c r="E17" s="17" t="s">
        <v>190</v>
      </c>
      <c r="F17" s="17" t="s">
        <v>100</v>
      </c>
      <c r="G17" s="19" t="n">
        <v>5</v>
      </c>
      <c r="H17" s="19" t="n">
        <v>5</v>
      </c>
    </row>
    <row r="18" customFormat="false" ht="15" hidden="false" customHeight="false" outlineLevel="0" collapsed="false">
      <c r="A18" s="20" t="n">
        <v>14</v>
      </c>
      <c r="B18" s="18" t="s">
        <v>205</v>
      </c>
      <c r="C18" s="9" t="s">
        <v>200</v>
      </c>
      <c r="D18" s="18" t="s">
        <v>206</v>
      </c>
      <c r="E18" s="18" t="s">
        <v>88</v>
      </c>
      <c r="F18" s="18" t="s">
        <v>207</v>
      </c>
      <c r="G18" s="20" t="n">
        <v>5</v>
      </c>
      <c r="H18" s="20" t="n">
        <v>4</v>
      </c>
    </row>
    <row r="19" customFormat="false" ht="15" hidden="false" customHeight="false" outlineLevel="0" collapsed="false">
      <c r="A19" s="19" t="n">
        <v>15</v>
      </c>
      <c r="B19" s="17" t="s">
        <v>208</v>
      </c>
      <c r="C19" s="6" t="s">
        <v>209</v>
      </c>
      <c r="D19" s="17" t="s">
        <v>210</v>
      </c>
      <c r="E19" s="17" t="s">
        <v>211</v>
      </c>
      <c r="F19" s="17" t="s">
        <v>100</v>
      </c>
      <c r="G19" s="19" t="n">
        <v>3</v>
      </c>
      <c r="H19" s="19" t="n">
        <v>5</v>
      </c>
    </row>
    <row r="20" customFormat="false" ht="15" hidden="false" customHeight="false" outlineLevel="0" collapsed="false">
      <c r="A20" s="20" t="n">
        <v>16</v>
      </c>
      <c r="B20" s="18" t="s">
        <v>212</v>
      </c>
      <c r="C20" s="9" t="s">
        <v>209</v>
      </c>
      <c r="D20" s="18" t="s">
        <v>213</v>
      </c>
      <c r="E20" s="18" t="s">
        <v>98</v>
      </c>
      <c r="F20" s="18" t="s">
        <v>100</v>
      </c>
      <c r="G20" s="20" t="n">
        <v>3</v>
      </c>
      <c r="H20" s="20" t="n">
        <v>4</v>
      </c>
    </row>
    <row r="21" customFormat="false" ht="15" hidden="false" customHeight="false" outlineLevel="0" collapsed="false">
      <c r="A21" s="19" t="n">
        <v>17</v>
      </c>
      <c r="B21" s="17" t="s">
        <v>214</v>
      </c>
      <c r="C21" s="6" t="s">
        <v>209</v>
      </c>
      <c r="D21" s="17" t="s">
        <v>215</v>
      </c>
      <c r="E21" s="17" t="s">
        <v>216</v>
      </c>
      <c r="F21" s="17" t="s">
        <v>100</v>
      </c>
      <c r="G21" s="19" t="n">
        <v>4</v>
      </c>
      <c r="H21" s="19" t="n">
        <v>4</v>
      </c>
    </row>
    <row r="22" customFormat="false" ht="15" hidden="false" customHeight="false" outlineLevel="0" collapsed="false">
      <c r="A22" s="20" t="n">
        <v>18</v>
      </c>
      <c r="B22" s="18" t="s">
        <v>217</v>
      </c>
      <c r="C22" s="9" t="s">
        <v>209</v>
      </c>
      <c r="D22" s="18" t="s">
        <v>218</v>
      </c>
      <c r="E22" s="18" t="s">
        <v>219</v>
      </c>
      <c r="F22" s="18" t="s">
        <v>100</v>
      </c>
      <c r="G22" s="20" t="n">
        <v>2</v>
      </c>
      <c r="H22" s="20" t="n">
        <v>3</v>
      </c>
    </row>
    <row r="23" customFormat="false" ht="15" hidden="false" customHeight="false" outlineLevel="0" collapsed="false">
      <c r="A23" s="19" t="n">
        <v>19</v>
      </c>
      <c r="B23" s="17" t="s">
        <v>220</v>
      </c>
      <c r="C23" s="6" t="s">
        <v>209</v>
      </c>
      <c r="D23" s="17" t="s">
        <v>221</v>
      </c>
      <c r="E23" s="17" t="s">
        <v>222</v>
      </c>
      <c r="F23" s="17" t="s">
        <v>100</v>
      </c>
      <c r="G23" s="19" t="n">
        <v>5</v>
      </c>
      <c r="H23" s="19" t="n">
        <v>4</v>
      </c>
    </row>
    <row r="24" customFormat="false" ht="15" hidden="false" customHeight="false" outlineLevel="0" collapsed="false">
      <c r="A24" s="20" t="n">
        <v>20</v>
      </c>
      <c r="B24" s="18" t="s">
        <v>223</v>
      </c>
      <c r="C24" s="9" t="s">
        <v>209</v>
      </c>
      <c r="D24" s="18" t="s">
        <v>224</v>
      </c>
      <c r="E24" s="18" t="s">
        <v>225</v>
      </c>
      <c r="F24" s="18" t="s">
        <v>100</v>
      </c>
      <c r="G24" s="20" t="n">
        <v>3</v>
      </c>
      <c r="H24" s="20" t="n">
        <v>4</v>
      </c>
    </row>
    <row r="25" customFormat="false" ht="15" hidden="false" customHeight="false" outlineLevel="0" collapsed="false">
      <c r="A25" s="19" t="n">
        <v>21</v>
      </c>
      <c r="B25" s="17" t="s">
        <v>226</v>
      </c>
      <c r="C25" s="6" t="s">
        <v>227</v>
      </c>
      <c r="D25" s="17" t="s">
        <v>228</v>
      </c>
      <c r="E25" s="17" t="s">
        <v>229</v>
      </c>
      <c r="F25" s="17" t="s">
        <v>100</v>
      </c>
      <c r="G25" s="19" t="n">
        <v>4</v>
      </c>
      <c r="H25" s="19" t="n">
        <v>4</v>
      </c>
    </row>
    <row r="26" customFormat="false" ht="15" hidden="false" customHeight="false" outlineLevel="0" collapsed="false">
      <c r="A26" s="20" t="n">
        <v>22</v>
      </c>
      <c r="B26" s="18" t="s">
        <v>230</v>
      </c>
      <c r="C26" s="9" t="s">
        <v>227</v>
      </c>
      <c r="D26" s="18" t="s">
        <v>231</v>
      </c>
      <c r="E26" s="18" t="s">
        <v>232</v>
      </c>
      <c r="F26" s="18" t="s">
        <v>100</v>
      </c>
      <c r="G26" s="20" t="n">
        <v>4</v>
      </c>
      <c r="H26" s="20" t="n">
        <v>4</v>
      </c>
    </row>
    <row r="27" customFormat="false" ht="15" hidden="false" customHeight="false" outlineLevel="0" collapsed="false">
      <c r="A27" s="19" t="n">
        <v>23</v>
      </c>
      <c r="B27" s="17" t="s">
        <v>233</v>
      </c>
      <c r="C27" s="6" t="s">
        <v>234</v>
      </c>
      <c r="D27" s="17" t="s">
        <v>235</v>
      </c>
      <c r="E27" s="17" t="s">
        <v>236</v>
      </c>
      <c r="F27" s="17" t="s">
        <v>100</v>
      </c>
      <c r="G27" s="19" t="n">
        <v>4</v>
      </c>
      <c r="H27" s="19" t="n">
        <v>4</v>
      </c>
    </row>
    <row r="28" customFormat="false" ht="15" hidden="false" customHeight="false" outlineLevel="0" collapsed="false">
      <c r="A28" s="20" t="n">
        <v>24</v>
      </c>
      <c r="B28" s="18" t="s">
        <v>237</v>
      </c>
      <c r="C28" s="9" t="s">
        <v>234</v>
      </c>
      <c r="D28" s="18" t="s">
        <v>238</v>
      </c>
      <c r="E28" s="18" t="s">
        <v>239</v>
      </c>
      <c r="F28" s="18" t="s">
        <v>100</v>
      </c>
      <c r="G28" s="20" t="n">
        <v>3</v>
      </c>
      <c r="H28" s="20" t="n">
        <v>4</v>
      </c>
    </row>
    <row r="29" customFormat="false" ht="15" hidden="false" customHeight="false" outlineLevel="0" collapsed="false">
      <c r="A29" s="19" t="n">
        <v>25</v>
      </c>
      <c r="B29" s="17" t="s">
        <v>240</v>
      </c>
      <c r="C29" s="6" t="s">
        <v>241</v>
      </c>
      <c r="D29" s="17" t="s">
        <v>242</v>
      </c>
      <c r="E29" s="17" t="s">
        <v>243</v>
      </c>
      <c r="F29" s="17" t="s">
        <v>100</v>
      </c>
      <c r="G29" s="19" t="n">
        <v>3</v>
      </c>
      <c r="H29" s="19" t="n">
        <v>5</v>
      </c>
    </row>
    <row r="30" customFormat="false" ht="15" hidden="false" customHeight="false" outlineLevel="0" collapsed="false">
      <c r="A30" s="20" t="n">
        <v>26</v>
      </c>
      <c r="B30" s="18" t="s">
        <v>244</v>
      </c>
      <c r="C30" s="9" t="s">
        <v>241</v>
      </c>
      <c r="D30" s="18" t="s">
        <v>245</v>
      </c>
      <c r="E30" s="18" t="s">
        <v>239</v>
      </c>
      <c r="F30" s="18" t="s">
        <v>246</v>
      </c>
      <c r="G30" s="20" t="n">
        <v>4</v>
      </c>
      <c r="H30" s="20" t="n">
        <v>5</v>
      </c>
    </row>
    <row r="31" customFormat="false" ht="15" hidden="false" customHeight="false" outlineLevel="0" collapsed="false">
      <c r="A31" s="19" t="n">
        <v>27</v>
      </c>
      <c r="B31" s="17" t="s">
        <v>247</v>
      </c>
      <c r="C31" s="6" t="s">
        <v>248</v>
      </c>
      <c r="D31" s="17" t="s">
        <v>249</v>
      </c>
      <c r="E31" s="17" t="s">
        <v>143</v>
      </c>
      <c r="F31" s="17" t="s">
        <v>100</v>
      </c>
      <c r="G31" s="19" t="n">
        <v>4</v>
      </c>
      <c r="H31" s="19" t="n">
        <v>4</v>
      </c>
    </row>
    <row r="32" customFormat="false" ht="15" hidden="false" customHeight="false" outlineLevel="0" collapsed="false">
      <c r="A32" s="20" t="n">
        <v>28</v>
      </c>
      <c r="B32" s="18" t="s">
        <v>250</v>
      </c>
      <c r="C32" s="9" t="s">
        <v>251</v>
      </c>
      <c r="D32" s="18" t="s">
        <v>252</v>
      </c>
      <c r="E32" s="18" t="s">
        <v>253</v>
      </c>
      <c r="F32" s="18" t="s">
        <v>254</v>
      </c>
      <c r="G32" s="20" t="n">
        <v>5</v>
      </c>
      <c r="H32" s="20" t="n">
        <v>4</v>
      </c>
    </row>
    <row r="33" customFormat="false" ht="15" hidden="false" customHeight="false" outlineLevel="0" collapsed="false">
      <c r="A33" s="19" t="n">
        <v>29</v>
      </c>
      <c r="B33" s="17" t="s">
        <v>255</v>
      </c>
      <c r="C33" s="6" t="s">
        <v>209</v>
      </c>
      <c r="D33" s="17" t="s">
        <v>256</v>
      </c>
      <c r="E33" s="17" t="s">
        <v>257</v>
      </c>
      <c r="F33" s="17" t="s">
        <v>258</v>
      </c>
      <c r="G33" s="19" t="n">
        <v>2</v>
      </c>
      <c r="H33" s="19" t="n">
        <v>5</v>
      </c>
    </row>
    <row r="34" customFormat="false" ht="15" hidden="false" customHeight="false" outlineLevel="0" collapsed="false">
      <c r="A34" s="20" t="n">
        <v>30</v>
      </c>
      <c r="B34" s="18" t="s">
        <v>259</v>
      </c>
      <c r="C34" s="9" t="s">
        <v>200</v>
      </c>
      <c r="D34" s="18" t="s">
        <v>260</v>
      </c>
      <c r="E34" s="18" t="s">
        <v>257</v>
      </c>
      <c r="F34" s="18" t="s">
        <v>100</v>
      </c>
      <c r="G34" s="20" t="n">
        <v>3</v>
      </c>
      <c r="H34" s="20" t="n">
        <v>5</v>
      </c>
    </row>
    <row r="35" customFormat="false" ht="15" hidden="false" customHeight="false" outlineLevel="0" collapsed="false">
      <c r="A35" s="19" t="n">
        <v>31</v>
      </c>
      <c r="B35" s="17" t="s">
        <v>261</v>
      </c>
      <c r="C35" s="6" t="s">
        <v>209</v>
      </c>
      <c r="D35" s="17" t="s">
        <v>262</v>
      </c>
      <c r="E35" s="17" t="s">
        <v>257</v>
      </c>
      <c r="F35" s="17" t="s">
        <v>263</v>
      </c>
      <c r="G35" s="19" t="n">
        <v>2</v>
      </c>
      <c r="H35" s="19" t="n">
        <v>4</v>
      </c>
    </row>
    <row r="36" customFormat="false" ht="15" hidden="false" customHeight="false" outlineLevel="0" collapsed="false">
      <c r="A36" s="20" t="n">
        <v>32</v>
      </c>
      <c r="B36" s="18" t="s">
        <v>264</v>
      </c>
      <c r="C36" s="9" t="s">
        <v>200</v>
      </c>
      <c r="D36" s="18" t="s">
        <v>265</v>
      </c>
      <c r="E36" s="18" t="s">
        <v>190</v>
      </c>
      <c r="F36" s="18" t="s">
        <v>100</v>
      </c>
      <c r="G36" s="20" t="n">
        <v>2</v>
      </c>
      <c r="H36" s="20" t="n">
        <v>4</v>
      </c>
    </row>
    <row r="38" customFormat="false" ht="15" hidden="false" customHeight="false" outlineLevel="0" collapsed="false">
      <c r="A38" s="21" t="s">
        <v>266</v>
      </c>
      <c r="B38" s="22" t="n">
        <f aca="false">COUNTA(B5:B36)</f>
        <v>32</v>
      </c>
      <c r="G38" s="22" t="n">
        <f aca="false">AVERAGE(G5:G36)</f>
        <v>3.84375</v>
      </c>
      <c r="H38" s="22" t="n">
        <f aca="false">AVERAGE(H5:H36)</f>
        <v>4.375</v>
      </c>
    </row>
  </sheetData>
  <mergeCells count="2">
    <mergeCell ref="A1:H1"/>
    <mergeCell ref="A2:H2"/>
  </mergeCells>
  <conditionalFormatting sqref="G5:H3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156</v>
      </c>
      <c r="B4" s="16" t="s">
        <v>157</v>
      </c>
      <c r="C4" s="16" t="s">
        <v>158</v>
      </c>
      <c r="D4" s="16" t="s">
        <v>159</v>
      </c>
      <c r="E4" s="16" t="s">
        <v>160</v>
      </c>
      <c r="F4" s="16" t="s">
        <v>161</v>
      </c>
      <c r="G4" s="16" t="s">
        <v>162</v>
      </c>
      <c r="H4" s="16" t="s">
        <v>163</v>
      </c>
    </row>
    <row r="5" customFormat="false" ht="15" hidden="false" customHeight="false" outlineLevel="0" collapsed="false">
      <c r="A5" s="19" t="n">
        <v>1</v>
      </c>
      <c r="B5" s="17" t="s">
        <v>269</v>
      </c>
      <c r="C5" s="6" t="s">
        <v>270</v>
      </c>
      <c r="D5" s="17" t="s">
        <v>271</v>
      </c>
      <c r="E5" s="17" t="s">
        <v>272</v>
      </c>
      <c r="F5" s="17" t="s">
        <v>100</v>
      </c>
      <c r="G5" s="19" t="n">
        <v>5</v>
      </c>
      <c r="H5" s="19" t="n">
        <v>5</v>
      </c>
    </row>
    <row r="6" customFormat="false" ht="15" hidden="false" customHeight="false" outlineLevel="0" collapsed="false">
      <c r="A6" s="20" t="n">
        <v>2</v>
      </c>
      <c r="B6" s="18" t="s">
        <v>187</v>
      </c>
      <c r="C6" s="9" t="s">
        <v>273</v>
      </c>
      <c r="D6" s="18" t="s">
        <v>274</v>
      </c>
      <c r="E6" s="18" t="s">
        <v>275</v>
      </c>
      <c r="F6" s="18" t="s">
        <v>100</v>
      </c>
      <c r="G6" s="20" t="n">
        <v>5</v>
      </c>
      <c r="H6" s="20" t="n">
        <v>5</v>
      </c>
    </row>
    <row r="7" customFormat="false" ht="15" hidden="false" customHeight="false" outlineLevel="0" collapsed="false">
      <c r="A7" s="19" t="n">
        <v>3</v>
      </c>
      <c r="B7" s="17" t="s">
        <v>276</v>
      </c>
      <c r="C7" s="6" t="s">
        <v>273</v>
      </c>
      <c r="D7" s="17" t="s">
        <v>277</v>
      </c>
      <c r="E7" s="17" t="s">
        <v>275</v>
      </c>
      <c r="F7" s="17" t="s">
        <v>100</v>
      </c>
      <c r="G7" s="19" t="n">
        <v>4</v>
      </c>
      <c r="H7" s="19" t="n">
        <v>5</v>
      </c>
    </row>
    <row r="8" customFormat="false" ht="15" hidden="false" customHeight="false" outlineLevel="0" collapsed="false">
      <c r="A8" s="20" t="n">
        <v>4</v>
      </c>
      <c r="B8" s="18" t="s">
        <v>278</v>
      </c>
      <c r="C8" s="9" t="s">
        <v>273</v>
      </c>
      <c r="D8" s="18" t="s">
        <v>279</v>
      </c>
      <c r="E8" s="18" t="s">
        <v>275</v>
      </c>
      <c r="F8" s="18" t="s">
        <v>100</v>
      </c>
      <c r="G8" s="20" t="n">
        <v>5</v>
      </c>
      <c r="H8" s="20" t="n">
        <v>5</v>
      </c>
    </row>
    <row r="9" customFormat="false" ht="15" hidden="false" customHeight="false" outlineLevel="0" collapsed="false">
      <c r="A9" s="19" t="n">
        <v>5</v>
      </c>
      <c r="B9" s="17" t="s">
        <v>280</v>
      </c>
      <c r="C9" s="6" t="s">
        <v>273</v>
      </c>
      <c r="D9" s="17" t="s">
        <v>281</v>
      </c>
      <c r="E9" s="17" t="s">
        <v>275</v>
      </c>
      <c r="F9" s="17" t="s">
        <v>100</v>
      </c>
      <c r="G9" s="19" t="n">
        <v>4</v>
      </c>
      <c r="H9" s="19" t="n">
        <v>5</v>
      </c>
    </row>
    <row r="10" customFormat="false" ht="15" hidden="false" customHeight="false" outlineLevel="0" collapsed="false">
      <c r="A10" s="20" t="n">
        <v>6</v>
      </c>
      <c r="B10" s="18" t="s">
        <v>282</v>
      </c>
      <c r="C10" s="9" t="s">
        <v>273</v>
      </c>
      <c r="D10" s="18" t="s">
        <v>283</v>
      </c>
      <c r="E10" s="18" t="s">
        <v>275</v>
      </c>
      <c r="F10" s="18" t="s">
        <v>100</v>
      </c>
      <c r="G10" s="20" t="n">
        <v>5</v>
      </c>
      <c r="H10" s="20" t="n">
        <v>5</v>
      </c>
    </row>
    <row r="11" customFormat="false" ht="15" hidden="false" customHeight="false" outlineLevel="0" collapsed="false">
      <c r="A11" s="19" t="n">
        <v>7</v>
      </c>
      <c r="B11" s="17" t="s">
        <v>284</v>
      </c>
      <c r="C11" s="6" t="s">
        <v>285</v>
      </c>
      <c r="D11" s="17" t="s">
        <v>286</v>
      </c>
      <c r="E11" s="17" t="s">
        <v>287</v>
      </c>
      <c r="F11" s="17" t="s">
        <v>100</v>
      </c>
      <c r="G11" s="19" t="n">
        <v>5</v>
      </c>
      <c r="H11" s="19" t="n">
        <v>5</v>
      </c>
    </row>
    <row r="12" customFormat="false" ht="15" hidden="false" customHeight="false" outlineLevel="0" collapsed="false">
      <c r="A12" s="20" t="n">
        <v>8</v>
      </c>
      <c r="B12" s="18" t="s">
        <v>288</v>
      </c>
      <c r="C12" s="9" t="s">
        <v>285</v>
      </c>
      <c r="D12" s="18" t="s">
        <v>289</v>
      </c>
      <c r="E12" s="18" t="s">
        <v>290</v>
      </c>
      <c r="F12" s="18" t="s">
        <v>291</v>
      </c>
      <c r="G12" s="20" t="n">
        <v>4</v>
      </c>
      <c r="H12" s="20" t="n">
        <v>4</v>
      </c>
    </row>
    <row r="13" customFormat="false" ht="15" hidden="false" customHeight="false" outlineLevel="0" collapsed="false">
      <c r="A13" s="19" t="n">
        <v>9</v>
      </c>
      <c r="B13" s="17" t="s">
        <v>292</v>
      </c>
      <c r="C13" s="6" t="s">
        <v>285</v>
      </c>
      <c r="D13" s="17" t="s">
        <v>293</v>
      </c>
      <c r="E13" s="17" t="s">
        <v>294</v>
      </c>
      <c r="F13" s="17" t="s">
        <v>100</v>
      </c>
      <c r="G13" s="19" t="n">
        <v>5</v>
      </c>
      <c r="H13" s="19" t="n">
        <v>5</v>
      </c>
    </row>
    <row r="14" customFormat="false" ht="15" hidden="false" customHeight="false" outlineLevel="0" collapsed="false">
      <c r="A14" s="20" t="n">
        <v>10</v>
      </c>
      <c r="B14" s="18" t="s">
        <v>295</v>
      </c>
      <c r="C14" s="9" t="s">
        <v>285</v>
      </c>
      <c r="D14" s="18" t="s">
        <v>296</v>
      </c>
      <c r="E14" s="18" t="s">
        <v>297</v>
      </c>
      <c r="F14" s="18" t="s">
        <v>100</v>
      </c>
      <c r="G14" s="20" t="n">
        <v>5</v>
      </c>
      <c r="H14" s="20" t="n">
        <v>4</v>
      </c>
    </row>
    <row r="15" customFormat="false" ht="15" hidden="false" customHeight="false" outlineLevel="0" collapsed="false">
      <c r="A15" s="19" t="n">
        <v>11</v>
      </c>
      <c r="B15" s="17" t="s">
        <v>298</v>
      </c>
      <c r="C15" s="6" t="s">
        <v>227</v>
      </c>
      <c r="D15" s="17" t="s">
        <v>299</v>
      </c>
      <c r="E15" s="17" t="s">
        <v>300</v>
      </c>
      <c r="F15" s="17" t="s">
        <v>100</v>
      </c>
      <c r="G15" s="19" t="n">
        <v>5</v>
      </c>
      <c r="H15" s="19" t="n">
        <v>5</v>
      </c>
    </row>
    <row r="16" customFormat="false" ht="15" hidden="false" customHeight="false" outlineLevel="0" collapsed="false">
      <c r="A16" s="20" t="n">
        <v>12</v>
      </c>
      <c r="B16" s="18" t="s">
        <v>301</v>
      </c>
      <c r="C16" s="9" t="s">
        <v>270</v>
      </c>
      <c r="D16" s="18" t="s">
        <v>302</v>
      </c>
      <c r="E16" s="18" t="s">
        <v>303</v>
      </c>
      <c r="F16" s="18" t="s">
        <v>100</v>
      </c>
      <c r="G16" s="20" t="n">
        <v>3</v>
      </c>
      <c r="H16" s="20" t="n">
        <v>4</v>
      </c>
    </row>
    <row r="17" customFormat="false" ht="15" hidden="false" customHeight="false" outlineLevel="0" collapsed="false">
      <c r="A17" s="19" t="n">
        <v>13</v>
      </c>
      <c r="B17" s="17" t="s">
        <v>304</v>
      </c>
      <c r="C17" s="6" t="s">
        <v>270</v>
      </c>
      <c r="D17" s="17" t="s">
        <v>305</v>
      </c>
      <c r="E17" s="17" t="s">
        <v>275</v>
      </c>
      <c r="F17" s="17" t="s">
        <v>100</v>
      </c>
      <c r="G17" s="19" t="n">
        <v>4</v>
      </c>
      <c r="H17" s="19" t="n">
        <v>4</v>
      </c>
    </row>
    <row r="18" customFormat="false" ht="15" hidden="false" customHeight="false" outlineLevel="0" collapsed="false">
      <c r="A18" s="20" t="n">
        <v>14</v>
      </c>
      <c r="B18" s="18" t="s">
        <v>306</v>
      </c>
      <c r="C18" s="9" t="s">
        <v>270</v>
      </c>
      <c r="D18" s="18" t="s">
        <v>307</v>
      </c>
      <c r="E18" s="18" t="s">
        <v>308</v>
      </c>
      <c r="F18" s="18" t="s">
        <v>291</v>
      </c>
      <c r="G18" s="20" t="n">
        <v>4</v>
      </c>
      <c r="H18" s="20" t="n">
        <v>5</v>
      </c>
    </row>
    <row r="19" customFormat="false" ht="15" hidden="false" customHeight="false" outlineLevel="0" collapsed="false">
      <c r="A19" s="19" t="n">
        <v>15</v>
      </c>
      <c r="B19" s="17" t="s">
        <v>309</v>
      </c>
      <c r="C19" s="6" t="s">
        <v>270</v>
      </c>
      <c r="D19" s="17" t="s">
        <v>310</v>
      </c>
      <c r="E19" s="17" t="s">
        <v>275</v>
      </c>
      <c r="F19" s="17" t="s">
        <v>100</v>
      </c>
      <c r="G19" s="19" t="n">
        <v>2</v>
      </c>
      <c r="H19" s="19" t="n">
        <v>4</v>
      </c>
    </row>
    <row r="20" customFormat="false" ht="15" hidden="false" customHeight="false" outlineLevel="0" collapsed="false">
      <c r="A20" s="20" t="n">
        <v>16</v>
      </c>
      <c r="B20" s="18" t="s">
        <v>311</v>
      </c>
      <c r="C20" s="9" t="s">
        <v>312</v>
      </c>
      <c r="D20" s="18" t="s">
        <v>313</v>
      </c>
      <c r="E20" s="18" t="s">
        <v>275</v>
      </c>
      <c r="F20" s="18" t="s">
        <v>314</v>
      </c>
      <c r="G20" s="20" t="n">
        <v>4</v>
      </c>
      <c r="H20" s="20" t="n">
        <v>5</v>
      </c>
    </row>
    <row r="21" customFormat="false" ht="15" hidden="false" customHeight="false" outlineLevel="0" collapsed="false">
      <c r="A21" s="19" t="n">
        <v>17</v>
      </c>
      <c r="B21" s="17" t="s">
        <v>315</v>
      </c>
      <c r="C21" s="6" t="s">
        <v>316</v>
      </c>
      <c r="D21" s="17" t="s">
        <v>317</v>
      </c>
      <c r="E21" s="17" t="s">
        <v>318</v>
      </c>
      <c r="F21" s="17" t="s">
        <v>100</v>
      </c>
      <c r="G21" s="19" t="n">
        <v>3</v>
      </c>
      <c r="H21" s="19" t="n">
        <v>4</v>
      </c>
    </row>
    <row r="22" customFormat="false" ht="15" hidden="false" customHeight="false" outlineLevel="0" collapsed="false">
      <c r="A22" s="20" t="n">
        <v>18</v>
      </c>
      <c r="B22" s="18" t="s">
        <v>319</v>
      </c>
      <c r="C22" s="9" t="s">
        <v>316</v>
      </c>
      <c r="D22" s="18" t="s">
        <v>320</v>
      </c>
      <c r="E22" s="18" t="s">
        <v>321</v>
      </c>
      <c r="F22" s="18" t="s">
        <v>100</v>
      </c>
      <c r="G22" s="20" t="n">
        <v>4</v>
      </c>
      <c r="H22" s="20" t="n">
        <v>4</v>
      </c>
    </row>
    <row r="23" customFormat="false" ht="15" hidden="false" customHeight="false" outlineLevel="0" collapsed="false">
      <c r="A23" s="19" t="n">
        <v>19</v>
      </c>
      <c r="B23" s="17" t="s">
        <v>322</v>
      </c>
      <c r="C23" s="6" t="s">
        <v>227</v>
      </c>
      <c r="D23" s="17" t="s">
        <v>323</v>
      </c>
      <c r="E23" s="17" t="s">
        <v>275</v>
      </c>
      <c r="F23" s="17" t="s">
        <v>100</v>
      </c>
      <c r="G23" s="19" t="n">
        <v>2</v>
      </c>
      <c r="H23" s="19" t="n">
        <v>4</v>
      </c>
    </row>
    <row r="24" customFormat="false" ht="15" hidden="false" customHeight="false" outlineLevel="0" collapsed="false">
      <c r="A24" s="20" t="n">
        <v>20</v>
      </c>
      <c r="B24" s="18" t="s">
        <v>324</v>
      </c>
      <c r="C24" s="9" t="s">
        <v>325</v>
      </c>
      <c r="D24" s="18" t="s">
        <v>326</v>
      </c>
      <c r="E24" s="18" t="s">
        <v>275</v>
      </c>
      <c r="F24" s="18" t="s">
        <v>100</v>
      </c>
      <c r="G24" s="20" t="n">
        <v>3</v>
      </c>
      <c r="H24" s="20" t="n">
        <v>4</v>
      </c>
    </row>
    <row r="25" customFormat="false" ht="15" hidden="false" customHeight="false" outlineLevel="0" collapsed="false">
      <c r="A25" s="19" t="n">
        <v>21</v>
      </c>
      <c r="B25" s="17" t="s">
        <v>327</v>
      </c>
      <c r="C25" s="6" t="s">
        <v>328</v>
      </c>
      <c r="D25" s="17" t="s">
        <v>329</v>
      </c>
      <c r="E25" s="17" t="s">
        <v>330</v>
      </c>
      <c r="F25" s="17" t="s">
        <v>100</v>
      </c>
      <c r="G25" s="19" t="n">
        <v>4</v>
      </c>
      <c r="H25" s="19" t="n">
        <v>4</v>
      </c>
    </row>
    <row r="26" customFormat="false" ht="15" hidden="false" customHeight="false" outlineLevel="0" collapsed="false">
      <c r="A26" s="20" t="n">
        <v>22</v>
      </c>
      <c r="B26" s="18" t="s">
        <v>331</v>
      </c>
      <c r="C26" s="9" t="s">
        <v>270</v>
      </c>
      <c r="D26" s="18" t="s">
        <v>332</v>
      </c>
      <c r="E26" s="18" t="s">
        <v>333</v>
      </c>
      <c r="F26" s="18" t="s">
        <v>100</v>
      </c>
      <c r="G26" s="20" t="n">
        <v>3</v>
      </c>
      <c r="H26" s="20" t="n">
        <v>4</v>
      </c>
    </row>
    <row r="27" customFormat="false" ht="15" hidden="false" customHeight="false" outlineLevel="0" collapsed="false">
      <c r="A27" s="19" t="n">
        <v>23</v>
      </c>
      <c r="B27" s="17" t="s">
        <v>334</v>
      </c>
      <c r="C27" s="6" t="s">
        <v>285</v>
      </c>
      <c r="D27" s="17" t="s">
        <v>335</v>
      </c>
      <c r="E27" s="17" t="s">
        <v>275</v>
      </c>
      <c r="F27" s="17" t="s">
        <v>100</v>
      </c>
      <c r="G27" s="19" t="n">
        <v>2</v>
      </c>
      <c r="H27" s="19" t="n">
        <v>4</v>
      </c>
    </row>
    <row r="28" customFormat="false" ht="15" hidden="false" customHeight="false" outlineLevel="0" collapsed="false">
      <c r="A28" s="20" t="n">
        <v>24</v>
      </c>
      <c r="B28" s="18" t="s">
        <v>336</v>
      </c>
      <c r="C28" s="9" t="s">
        <v>337</v>
      </c>
      <c r="D28" s="18" t="s">
        <v>338</v>
      </c>
      <c r="E28" s="18" t="s">
        <v>275</v>
      </c>
      <c r="F28" s="18" t="s">
        <v>100</v>
      </c>
      <c r="G28" s="20" t="n">
        <v>3</v>
      </c>
      <c r="H28" s="20" t="n">
        <v>5</v>
      </c>
    </row>
    <row r="29" customFormat="false" ht="15" hidden="false" customHeight="false" outlineLevel="0" collapsed="false">
      <c r="A29" s="19" t="n">
        <v>25</v>
      </c>
      <c r="B29" s="17" t="s">
        <v>339</v>
      </c>
      <c r="C29" s="6" t="s">
        <v>273</v>
      </c>
      <c r="D29" s="17" t="s">
        <v>340</v>
      </c>
      <c r="E29" s="17" t="s">
        <v>341</v>
      </c>
      <c r="F29" s="17" t="s">
        <v>100</v>
      </c>
      <c r="G29" s="19" t="n">
        <v>3</v>
      </c>
      <c r="H29" s="19" t="n">
        <v>4</v>
      </c>
    </row>
    <row r="30" customFormat="false" ht="15" hidden="false" customHeight="false" outlineLevel="0" collapsed="false">
      <c r="A30" s="20" t="n">
        <v>26</v>
      </c>
      <c r="B30" s="18" t="s">
        <v>342</v>
      </c>
      <c r="C30" s="9" t="s">
        <v>343</v>
      </c>
      <c r="D30" s="18" t="s">
        <v>344</v>
      </c>
      <c r="E30" s="18" t="s">
        <v>345</v>
      </c>
      <c r="F30" s="18" t="s">
        <v>346</v>
      </c>
      <c r="G30" s="20" t="n">
        <v>4</v>
      </c>
      <c r="H30" s="20" t="n">
        <v>3</v>
      </c>
    </row>
    <row r="31" customFormat="false" ht="15" hidden="false" customHeight="false" outlineLevel="0" collapsed="false">
      <c r="A31" s="19" t="n">
        <v>27</v>
      </c>
      <c r="B31" s="17" t="s">
        <v>347</v>
      </c>
      <c r="C31" s="6" t="s">
        <v>67</v>
      </c>
      <c r="D31" s="17" t="s">
        <v>348</v>
      </c>
      <c r="E31" s="17" t="s">
        <v>349</v>
      </c>
      <c r="F31" s="17" t="s">
        <v>100</v>
      </c>
      <c r="G31" s="19" t="n">
        <v>3</v>
      </c>
      <c r="H31" s="19" t="n">
        <v>4</v>
      </c>
    </row>
    <row r="32" customFormat="false" ht="15" hidden="false" customHeight="false" outlineLevel="0" collapsed="false">
      <c r="A32" s="20" t="n">
        <v>28</v>
      </c>
      <c r="B32" s="18" t="s">
        <v>350</v>
      </c>
      <c r="C32" s="9" t="s">
        <v>273</v>
      </c>
      <c r="D32" s="18" t="s">
        <v>351</v>
      </c>
      <c r="E32" s="18" t="s">
        <v>352</v>
      </c>
      <c r="F32" s="18" t="s">
        <v>100</v>
      </c>
      <c r="G32" s="20" t="n">
        <v>4</v>
      </c>
      <c r="H32" s="20" t="n">
        <v>5</v>
      </c>
    </row>
    <row r="34" customFormat="false" ht="15" hidden="false" customHeight="false" outlineLevel="0" collapsed="false">
      <c r="A34" s="21" t="s">
        <v>266</v>
      </c>
      <c r="B34" s="22" t="n">
        <f aca="false">COUNTA(B5:B32)</f>
        <v>28</v>
      </c>
      <c r="G34" s="22" t="n">
        <f aca="false">AVERAGE(G5:G32)</f>
        <v>3.82142857142857</v>
      </c>
      <c r="H34" s="22" t="n">
        <f aca="false">AVERAGE(H5:H32)</f>
        <v>4.42857142857143</v>
      </c>
    </row>
  </sheetData>
  <mergeCells count="2">
    <mergeCell ref="A1:H1"/>
    <mergeCell ref="A2:H2"/>
  </mergeCells>
  <conditionalFormatting sqref="G5:H32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353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354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156</v>
      </c>
      <c r="B4" s="16" t="s">
        <v>157</v>
      </c>
      <c r="C4" s="16" t="s">
        <v>158</v>
      </c>
      <c r="D4" s="16" t="s">
        <v>159</v>
      </c>
      <c r="E4" s="16" t="s">
        <v>160</v>
      </c>
      <c r="F4" s="16" t="s">
        <v>161</v>
      </c>
      <c r="G4" s="16" t="s">
        <v>162</v>
      </c>
      <c r="H4" s="16" t="s">
        <v>163</v>
      </c>
    </row>
    <row r="5" customFormat="false" ht="15" hidden="false" customHeight="false" outlineLevel="0" collapsed="false">
      <c r="A5" s="19" t="n">
        <v>1</v>
      </c>
      <c r="B5" s="17" t="s">
        <v>355</v>
      </c>
      <c r="C5" s="6" t="s">
        <v>356</v>
      </c>
      <c r="D5" s="17" t="s">
        <v>357</v>
      </c>
      <c r="E5" s="17" t="s">
        <v>358</v>
      </c>
      <c r="F5" s="17" t="s">
        <v>100</v>
      </c>
      <c r="G5" s="19" t="n">
        <v>4</v>
      </c>
      <c r="H5" s="19" t="n">
        <v>5</v>
      </c>
    </row>
    <row r="6" customFormat="false" ht="15" hidden="false" customHeight="false" outlineLevel="0" collapsed="false">
      <c r="A6" s="20" t="n">
        <v>2</v>
      </c>
      <c r="B6" s="18" t="s">
        <v>359</v>
      </c>
      <c r="C6" s="9" t="s">
        <v>86</v>
      </c>
      <c r="D6" s="18" t="s">
        <v>360</v>
      </c>
      <c r="E6" s="18" t="s">
        <v>358</v>
      </c>
      <c r="F6" s="18" t="s">
        <v>100</v>
      </c>
      <c r="G6" s="20" t="n">
        <v>5</v>
      </c>
      <c r="H6" s="20" t="n">
        <v>5</v>
      </c>
    </row>
    <row r="7" customFormat="false" ht="15" hidden="false" customHeight="false" outlineLevel="0" collapsed="false">
      <c r="A7" s="19" t="n">
        <v>3</v>
      </c>
      <c r="B7" s="17" t="s">
        <v>361</v>
      </c>
      <c r="C7" s="6" t="s">
        <v>86</v>
      </c>
      <c r="D7" s="17" t="s">
        <v>362</v>
      </c>
      <c r="E7" s="17" t="s">
        <v>358</v>
      </c>
      <c r="F7" s="17" t="s">
        <v>314</v>
      </c>
      <c r="G7" s="19" t="n">
        <v>5</v>
      </c>
      <c r="H7" s="19" t="n">
        <v>5</v>
      </c>
    </row>
    <row r="8" customFormat="false" ht="15" hidden="false" customHeight="false" outlineLevel="0" collapsed="false">
      <c r="A8" s="20" t="n">
        <v>4</v>
      </c>
      <c r="B8" s="18" t="s">
        <v>363</v>
      </c>
      <c r="C8" s="9" t="s">
        <v>86</v>
      </c>
      <c r="D8" s="18" t="s">
        <v>364</v>
      </c>
      <c r="E8" s="18" t="s">
        <v>365</v>
      </c>
      <c r="F8" s="18" t="s">
        <v>100</v>
      </c>
      <c r="G8" s="20" t="n">
        <v>4</v>
      </c>
      <c r="H8" s="20" t="n">
        <v>4</v>
      </c>
    </row>
    <row r="9" customFormat="false" ht="15" hidden="false" customHeight="false" outlineLevel="0" collapsed="false">
      <c r="A9" s="19" t="n">
        <v>5</v>
      </c>
      <c r="B9" s="17" t="s">
        <v>366</v>
      </c>
      <c r="C9" s="6" t="s">
        <v>86</v>
      </c>
      <c r="D9" s="17" t="s">
        <v>367</v>
      </c>
      <c r="E9" s="17" t="s">
        <v>358</v>
      </c>
      <c r="F9" s="17" t="s">
        <v>100</v>
      </c>
      <c r="G9" s="19" t="n">
        <v>3</v>
      </c>
      <c r="H9" s="19" t="n">
        <v>4</v>
      </c>
    </row>
    <row r="10" customFormat="false" ht="15" hidden="false" customHeight="false" outlineLevel="0" collapsed="false">
      <c r="A10" s="20" t="n">
        <v>6</v>
      </c>
      <c r="B10" s="18" t="s">
        <v>368</v>
      </c>
      <c r="C10" s="9" t="s">
        <v>369</v>
      </c>
      <c r="D10" s="18" t="s">
        <v>370</v>
      </c>
      <c r="E10" s="18" t="s">
        <v>358</v>
      </c>
      <c r="F10" s="18" t="s">
        <v>100</v>
      </c>
      <c r="G10" s="20" t="n">
        <v>5</v>
      </c>
      <c r="H10" s="20" t="n">
        <v>5</v>
      </c>
    </row>
    <row r="11" customFormat="false" ht="15" hidden="false" customHeight="false" outlineLevel="0" collapsed="false">
      <c r="A11" s="19" t="n">
        <v>7</v>
      </c>
      <c r="B11" s="17" t="s">
        <v>371</v>
      </c>
      <c r="C11" s="6" t="s">
        <v>369</v>
      </c>
      <c r="D11" s="17" t="s">
        <v>372</v>
      </c>
      <c r="E11" s="17" t="s">
        <v>373</v>
      </c>
      <c r="F11" s="17" t="s">
        <v>100</v>
      </c>
      <c r="G11" s="19" t="n">
        <v>5</v>
      </c>
      <c r="H11" s="19" t="n">
        <v>4</v>
      </c>
    </row>
    <row r="12" customFormat="false" ht="15" hidden="false" customHeight="false" outlineLevel="0" collapsed="false">
      <c r="A12" s="20" t="n">
        <v>8</v>
      </c>
      <c r="B12" s="18" t="s">
        <v>374</v>
      </c>
      <c r="C12" s="9" t="s">
        <v>375</v>
      </c>
      <c r="D12" s="18" t="s">
        <v>376</v>
      </c>
      <c r="E12" s="18" t="s">
        <v>358</v>
      </c>
      <c r="F12" s="18" t="s">
        <v>100</v>
      </c>
      <c r="G12" s="20" t="n">
        <v>5</v>
      </c>
      <c r="H12" s="20" t="n">
        <v>5</v>
      </c>
    </row>
    <row r="13" customFormat="false" ht="15" hidden="false" customHeight="false" outlineLevel="0" collapsed="false">
      <c r="A13" s="19" t="n">
        <v>9</v>
      </c>
      <c r="B13" s="17" t="s">
        <v>377</v>
      </c>
      <c r="C13" s="6" t="s">
        <v>337</v>
      </c>
      <c r="D13" s="17" t="s">
        <v>378</v>
      </c>
      <c r="E13" s="17" t="s">
        <v>379</v>
      </c>
      <c r="F13" s="17" t="s">
        <v>100</v>
      </c>
      <c r="G13" s="19" t="n">
        <v>4</v>
      </c>
      <c r="H13" s="19" t="n">
        <v>4</v>
      </c>
    </row>
    <row r="14" customFormat="false" ht="15" hidden="false" customHeight="false" outlineLevel="0" collapsed="false">
      <c r="A14" s="20" t="n">
        <v>10</v>
      </c>
      <c r="B14" s="18" t="s">
        <v>380</v>
      </c>
      <c r="C14" s="9" t="s">
        <v>381</v>
      </c>
      <c r="D14" s="18" t="s">
        <v>382</v>
      </c>
      <c r="E14" s="18" t="s">
        <v>383</v>
      </c>
      <c r="F14" s="18" t="s">
        <v>384</v>
      </c>
      <c r="G14" s="20" t="n">
        <v>4</v>
      </c>
      <c r="H14" s="20" t="n">
        <v>3</v>
      </c>
    </row>
    <row r="15" customFormat="false" ht="15" hidden="false" customHeight="false" outlineLevel="0" collapsed="false">
      <c r="A15" s="19" t="n">
        <v>11</v>
      </c>
      <c r="B15" s="17" t="s">
        <v>385</v>
      </c>
      <c r="C15" s="6" t="s">
        <v>227</v>
      </c>
      <c r="D15" s="17" t="s">
        <v>386</v>
      </c>
      <c r="E15" s="17" t="s">
        <v>387</v>
      </c>
      <c r="F15" s="17" t="s">
        <v>100</v>
      </c>
      <c r="G15" s="19" t="n">
        <v>4</v>
      </c>
      <c r="H15" s="19" t="n">
        <v>4</v>
      </c>
    </row>
    <row r="16" customFormat="false" ht="15" hidden="false" customHeight="false" outlineLevel="0" collapsed="false">
      <c r="A16" s="20" t="n">
        <v>12</v>
      </c>
      <c r="B16" s="18" t="s">
        <v>388</v>
      </c>
      <c r="C16" s="9" t="s">
        <v>227</v>
      </c>
      <c r="D16" s="18" t="s">
        <v>389</v>
      </c>
      <c r="E16" s="18" t="s">
        <v>232</v>
      </c>
      <c r="F16" s="18" t="s">
        <v>100</v>
      </c>
      <c r="G16" s="20" t="n">
        <v>4</v>
      </c>
      <c r="H16" s="20" t="n">
        <v>4</v>
      </c>
    </row>
    <row r="17" customFormat="false" ht="15" hidden="false" customHeight="false" outlineLevel="0" collapsed="false">
      <c r="A17" s="19" t="n">
        <v>13</v>
      </c>
      <c r="B17" s="17" t="s">
        <v>390</v>
      </c>
      <c r="C17" s="6" t="s">
        <v>391</v>
      </c>
      <c r="D17" s="17" t="s">
        <v>392</v>
      </c>
      <c r="E17" s="17" t="s">
        <v>393</v>
      </c>
      <c r="F17" s="17" t="s">
        <v>100</v>
      </c>
      <c r="G17" s="19" t="n">
        <v>4</v>
      </c>
      <c r="H17" s="19" t="n">
        <v>4</v>
      </c>
    </row>
    <row r="18" customFormat="false" ht="15" hidden="false" customHeight="false" outlineLevel="0" collapsed="false">
      <c r="A18" s="20" t="n">
        <v>14</v>
      </c>
      <c r="B18" s="18" t="s">
        <v>394</v>
      </c>
      <c r="C18" s="9" t="s">
        <v>395</v>
      </c>
      <c r="D18" s="18" t="s">
        <v>396</v>
      </c>
      <c r="E18" s="18" t="s">
        <v>397</v>
      </c>
      <c r="F18" s="18" t="s">
        <v>100</v>
      </c>
      <c r="G18" s="20" t="n">
        <v>4</v>
      </c>
      <c r="H18" s="20" t="n">
        <v>4</v>
      </c>
    </row>
    <row r="19" customFormat="false" ht="15" hidden="false" customHeight="false" outlineLevel="0" collapsed="false">
      <c r="A19" s="19" t="n">
        <v>15</v>
      </c>
      <c r="B19" s="17" t="s">
        <v>398</v>
      </c>
      <c r="C19" s="6" t="s">
        <v>375</v>
      </c>
      <c r="D19" s="17" t="s">
        <v>399</v>
      </c>
      <c r="E19" s="17" t="s">
        <v>358</v>
      </c>
      <c r="F19" s="17" t="s">
        <v>100</v>
      </c>
      <c r="G19" s="19" t="n">
        <v>2</v>
      </c>
      <c r="H19" s="19" t="n">
        <v>4</v>
      </c>
    </row>
    <row r="20" customFormat="false" ht="15" hidden="false" customHeight="false" outlineLevel="0" collapsed="false">
      <c r="A20" s="20" t="n">
        <v>16</v>
      </c>
      <c r="B20" s="18" t="s">
        <v>400</v>
      </c>
      <c r="C20" s="9" t="s">
        <v>337</v>
      </c>
      <c r="D20" s="18" t="s">
        <v>401</v>
      </c>
      <c r="E20" s="18" t="s">
        <v>257</v>
      </c>
      <c r="F20" s="18" t="s">
        <v>100</v>
      </c>
      <c r="G20" s="20" t="n">
        <v>3</v>
      </c>
      <c r="H20" s="20" t="n">
        <v>4</v>
      </c>
    </row>
    <row r="22" customFormat="false" ht="15" hidden="false" customHeight="false" outlineLevel="0" collapsed="false">
      <c r="A22" s="21" t="s">
        <v>266</v>
      </c>
      <c r="B22" s="22" t="n">
        <f aca="false">COUNTA(B5:B20)</f>
        <v>16</v>
      </c>
      <c r="G22" s="22" t="n">
        <f aca="false">AVERAGE(G5:G20)</f>
        <v>4.0625</v>
      </c>
      <c r="H22" s="22" t="n">
        <f aca="false">AVERAGE(H5:H20)</f>
        <v>4.25</v>
      </c>
    </row>
  </sheetData>
  <mergeCells count="2">
    <mergeCell ref="A1:H1"/>
    <mergeCell ref="A2:H2"/>
  </mergeCells>
  <conditionalFormatting sqref="G5:H2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402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403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156</v>
      </c>
      <c r="B4" s="16" t="s">
        <v>157</v>
      </c>
      <c r="C4" s="16" t="s">
        <v>158</v>
      </c>
      <c r="D4" s="16" t="s">
        <v>159</v>
      </c>
      <c r="E4" s="16" t="s">
        <v>160</v>
      </c>
      <c r="F4" s="16" t="s">
        <v>161</v>
      </c>
      <c r="G4" s="16" t="s">
        <v>162</v>
      </c>
      <c r="H4" s="16" t="s">
        <v>163</v>
      </c>
    </row>
    <row r="5" customFormat="false" ht="15" hidden="false" customHeight="false" outlineLevel="0" collapsed="false">
      <c r="A5" s="19" t="n">
        <v>1</v>
      </c>
      <c r="B5" s="17" t="s">
        <v>404</v>
      </c>
      <c r="C5" s="6" t="s">
        <v>86</v>
      </c>
      <c r="D5" s="17" t="s">
        <v>405</v>
      </c>
      <c r="E5" s="17" t="s">
        <v>406</v>
      </c>
      <c r="F5" s="17" t="s">
        <v>100</v>
      </c>
      <c r="G5" s="19" t="n">
        <v>5</v>
      </c>
      <c r="H5" s="19" t="n">
        <v>5</v>
      </c>
    </row>
    <row r="6" customFormat="false" ht="15" hidden="false" customHeight="false" outlineLevel="0" collapsed="false">
      <c r="A6" s="20" t="n">
        <v>2</v>
      </c>
      <c r="B6" s="18" t="s">
        <v>407</v>
      </c>
      <c r="C6" s="9" t="s">
        <v>408</v>
      </c>
      <c r="D6" s="18" t="s">
        <v>409</v>
      </c>
      <c r="E6" s="18" t="s">
        <v>410</v>
      </c>
      <c r="F6" s="18" t="s">
        <v>314</v>
      </c>
      <c r="G6" s="20" t="n">
        <v>5</v>
      </c>
      <c r="H6" s="20" t="n">
        <v>5</v>
      </c>
    </row>
    <row r="7" customFormat="false" ht="23.85" hidden="false" customHeight="false" outlineLevel="0" collapsed="false">
      <c r="A7" s="19" t="n">
        <v>3</v>
      </c>
      <c r="B7" s="17" t="s">
        <v>411</v>
      </c>
      <c r="C7" s="6" t="s">
        <v>408</v>
      </c>
      <c r="D7" s="17" t="s">
        <v>412</v>
      </c>
      <c r="E7" s="17" t="s">
        <v>413</v>
      </c>
      <c r="F7" s="17" t="s">
        <v>100</v>
      </c>
      <c r="G7" s="19" t="n">
        <v>4</v>
      </c>
      <c r="H7" s="19" t="n">
        <v>5</v>
      </c>
    </row>
    <row r="8" customFormat="false" ht="15" hidden="false" customHeight="false" outlineLevel="0" collapsed="false">
      <c r="A8" s="20" t="n">
        <v>4</v>
      </c>
      <c r="B8" s="18" t="s">
        <v>414</v>
      </c>
      <c r="C8" s="9" t="s">
        <v>408</v>
      </c>
      <c r="D8" s="18" t="s">
        <v>415</v>
      </c>
      <c r="E8" s="18" t="s">
        <v>314</v>
      </c>
      <c r="F8" s="18" t="s">
        <v>100</v>
      </c>
      <c r="G8" s="20" t="n">
        <v>5</v>
      </c>
      <c r="H8" s="20" t="n">
        <v>5</v>
      </c>
    </row>
    <row r="9" customFormat="false" ht="15" hidden="false" customHeight="false" outlineLevel="0" collapsed="false">
      <c r="A9" s="19" t="n">
        <v>5</v>
      </c>
      <c r="B9" s="17" t="s">
        <v>416</v>
      </c>
      <c r="C9" s="6" t="s">
        <v>86</v>
      </c>
      <c r="D9" s="17" t="s">
        <v>417</v>
      </c>
      <c r="E9" s="17" t="s">
        <v>418</v>
      </c>
      <c r="F9" s="17" t="s">
        <v>100</v>
      </c>
      <c r="G9" s="19" t="n">
        <v>3</v>
      </c>
      <c r="H9" s="19" t="n">
        <v>4</v>
      </c>
    </row>
    <row r="10" customFormat="false" ht="15" hidden="false" customHeight="false" outlineLevel="0" collapsed="false">
      <c r="A10" s="20" t="n">
        <v>6</v>
      </c>
      <c r="B10" s="18" t="s">
        <v>419</v>
      </c>
      <c r="C10" s="9" t="s">
        <v>420</v>
      </c>
      <c r="D10" s="18" t="s">
        <v>421</v>
      </c>
      <c r="E10" s="18" t="s">
        <v>422</v>
      </c>
      <c r="F10" s="18" t="s">
        <v>100</v>
      </c>
      <c r="G10" s="20" t="n">
        <v>4</v>
      </c>
      <c r="H10" s="20" t="n">
        <v>3</v>
      </c>
    </row>
    <row r="11" customFormat="false" ht="15" hidden="false" customHeight="false" outlineLevel="0" collapsed="false">
      <c r="A11" s="19" t="n">
        <v>7</v>
      </c>
      <c r="B11" s="17" t="s">
        <v>423</v>
      </c>
      <c r="C11" s="6" t="s">
        <v>67</v>
      </c>
      <c r="D11" s="17" t="s">
        <v>424</v>
      </c>
      <c r="E11" s="17" t="s">
        <v>425</v>
      </c>
      <c r="F11" s="17" t="s">
        <v>100</v>
      </c>
      <c r="G11" s="19" t="n">
        <v>4</v>
      </c>
      <c r="H11" s="19" t="n">
        <v>3</v>
      </c>
    </row>
    <row r="12" customFormat="false" ht="15" hidden="false" customHeight="false" outlineLevel="0" collapsed="false">
      <c r="A12" s="20" t="n">
        <v>8</v>
      </c>
      <c r="B12" s="18" t="s">
        <v>426</v>
      </c>
      <c r="C12" s="9" t="s">
        <v>427</v>
      </c>
      <c r="D12" s="18" t="s">
        <v>428</v>
      </c>
      <c r="E12" s="18" t="s">
        <v>84</v>
      </c>
      <c r="F12" s="18" t="s">
        <v>100</v>
      </c>
      <c r="G12" s="20" t="n">
        <v>4</v>
      </c>
      <c r="H12" s="20" t="n">
        <v>4</v>
      </c>
    </row>
    <row r="13" customFormat="false" ht="15" hidden="false" customHeight="false" outlineLevel="0" collapsed="false">
      <c r="A13" s="19" t="n">
        <v>9</v>
      </c>
      <c r="B13" s="17" t="s">
        <v>429</v>
      </c>
      <c r="C13" s="6" t="s">
        <v>430</v>
      </c>
      <c r="D13" s="17" t="s">
        <v>431</v>
      </c>
      <c r="E13" s="17" t="s">
        <v>79</v>
      </c>
      <c r="F13" s="17" t="s">
        <v>100</v>
      </c>
      <c r="G13" s="19" t="n">
        <v>4</v>
      </c>
      <c r="H13" s="19" t="n">
        <v>4</v>
      </c>
    </row>
    <row r="14" customFormat="false" ht="15" hidden="false" customHeight="false" outlineLevel="0" collapsed="false">
      <c r="A14" s="20" t="n">
        <v>10</v>
      </c>
      <c r="B14" s="18" t="s">
        <v>432</v>
      </c>
      <c r="C14" s="9" t="s">
        <v>391</v>
      </c>
      <c r="D14" s="18" t="s">
        <v>433</v>
      </c>
      <c r="E14" s="18" t="s">
        <v>434</v>
      </c>
      <c r="F14" s="18" t="s">
        <v>100</v>
      </c>
      <c r="G14" s="20" t="n">
        <v>3</v>
      </c>
      <c r="H14" s="20" t="n">
        <v>4</v>
      </c>
    </row>
    <row r="15" customFormat="false" ht="15" hidden="false" customHeight="false" outlineLevel="0" collapsed="false">
      <c r="A15" s="19" t="n">
        <v>11</v>
      </c>
      <c r="B15" s="17" t="s">
        <v>435</v>
      </c>
      <c r="C15" s="6" t="s">
        <v>391</v>
      </c>
      <c r="D15" s="17" t="s">
        <v>436</v>
      </c>
      <c r="E15" s="17" t="s">
        <v>406</v>
      </c>
      <c r="F15" s="17" t="s">
        <v>100</v>
      </c>
      <c r="G15" s="19" t="n">
        <v>3</v>
      </c>
      <c r="H15" s="19" t="n">
        <v>4</v>
      </c>
    </row>
    <row r="16" customFormat="false" ht="15" hidden="false" customHeight="false" outlineLevel="0" collapsed="false">
      <c r="A16" s="20" t="n">
        <v>12</v>
      </c>
      <c r="B16" s="18" t="s">
        <v>437</v>
      </c>
      <c r="C16" s="9" t="s">
        <v>420</v>
      </c>
      <c r="D16" s="18" t="s">
        <v>438</v>
      </c>
      <c r="E16" s="18" t="s">
        <v>439</v>
      </c>
      <c r="F16" s="18" t="s">
        <v>100</v>
      </c>
      <c r="G16" s="20" t="n">
        <v>4</v>
      </c>
      <c r="H16" s="20" t="n">
        <v>5</v>
      </c>
    </row>
    <row r="17" customFormat="false" ht="15" hidden="false" customHeight="false" outlineLevel="0" collapsed="false">
      <c r="A17" s="19" t="n">
        <v>13</v>
      </c>
      <c r="B17" s="17" t="s">
        <v>440</v>
      </c>
      <c r="C17" s="6" t="s">
        <v>408</v>
      </c>
      <c r="D17" s="17" t="s">
        <v>441</v>
      </c>
      <c r="E17" s="17" t="s">
        <v>170</v>
      </c>
      <c r="F17" s="17" t="s">
        <v>442</v>
      </c>
      <c r="G17" s="19" t="n">
        <v>4</v>
      </c>
      <c r="H17" s="19" t="n">
        <v>5</v>
      </c>
    </row>
    <row r="18" customFormat="false" ht="15" hidden="false" customHeight="false" outlineLevel="0" collapsed="false">
      <c r="A18" s="20" t="n">
        <v>14</v>
      </c>
      <c r="B18" s="18" t="s">
        <v>443</v>
      </c>
      <c r="C18" s="9" t="s">
        <v>408</v>
      </c>
      <c r="D18" s="18" t="s">
        <v>444</v>
      </c>
      <c r="E18" s="18" t="s">
        <v>445</v>
      </c>
      <c r="F18" s="18" t="s">
        <v>246</v>
      </c>
      <c r="G18" s="20" t="n">
        <v>4</v>
      </c>
      <c r="H18" s="20" t="n">
        <v>4</v>
      </c>
    </row>
    <row r="19" customFormat="false" ht="15" hidden="false" customHeight="false" outlineLevel="0" collapsed="false">
      <c r="A19" s="19" t="n">
        <v>15</v>
      </c>
      <c r="B19" s="17" t="s">
        <v>446</v>
      </c>
      <c r="C19" s="6" t="s">
        <v>381</v>
      </c>
      <c r="D19" s="17" t="s">
        <v>447</v>
      </c>
      <c r="E19" s="17" t="s">
        <v>448</v>
      </c>
      <c r="F19" s="17" t="s">
        <v>100</v>
      </c>
      <c r="G19" s="19" t="n">
        <v>4</v>
      </c>
      <c r="H19" s="19" t="n">
        <v>4</v>
      </c>
    </row>
    <row r="20" customFormat="false" ht="15" hidden="false" customHeight="false" outlineLevel="0" collapsed="false">
      <c r="A20" s="20" t="n">
        <v>16</v>
      </c>
      <c r="B20" s="18" t="s">
        <v>449</v>
      </c>
      <c r="C20" s="9" t="s">
        <v>381</v>
      </c>
      <c r="D20" s="18" t="s">
        <v>450</v>
      </c>
      <c r="E20" s="18" t="s">
        <v>451</v>
      </c>
      <c r="F20" s="18" t="s">
        <v>452</v>
      </c>
      <c r="G20" s="20" t="n">
        <v>4</v>
      </c>
      <c r="H20" s="20" t="n">
        <v>4</v>
      </c>
    </row>
    <row r="21" customFormat="false" ht="15" hidden="false" customHeight="false" outlineLevel="0" collapsed="false">
      <c r="A21" s="19" t="n">
        <v>17</v>
      </c>
      <c r="B21" s="17" t="s">
        <v>453</v>
      </c>
      <c r="C21" s="6" t="s">
        <v>420</v>
      </c>
      <c r="D21" s="17" t="s">
        <v>454</v>
      </c>
      <c r="E21" s="17" t="s">
        <v>455</v>
      </c>
      <c r="F21" s="17" t="s">
        <v>100</v>
      </c>
      <c r="G21" s="19" t="n">
        <v>3</v>
      </c>
      <c r="H21" s="19" t="n">
        <v>4</v>
      </c>
    </row>
    <row r="22" customFormat="false" ht="15" hidden="false" customHeight="false" outlineLevel="0" collapsed="false">
      <c r="A22" s="20" t="n">
        <v>18</v>
      </c>
      <c r="B22" s="18" t="s">
        <v>456</v>
      </c>
      <c r="C22" s="9" t="s">
        <v>420</v>
      </c>
      <c r="D22" s="18" t="s">
        <v>457</v>
      </c>
      <c r="E22" s="18" t="s">
        <v>458</v>
      </c>
      <c r="F22" s="18" t="s">
        <v>100</v>
      </c>
      <c r="G22" s="20" t="n">
        <v>4</v>
      </c>
      <c r="H22" s="20" t="n">
        <v>5</v>
      </c>
    </row>
    <row r="23" customFormat="false" ht="15" hidden="false" customHeight="false" outlineLevel="0" collapsed="false">
      <c r="A23" s="19" t="n">
        <v>19</v>
      </c>
      <c r="B23" s="17" t="s">
        <v>459</v>
      </c>
      <c r="C23" s="6" t="s">
        <v>420</v>
      </c>
      <c r="D23" s="17" t="s">
        <v>460</v>
      </c>
      <c r="E23" s="17" t="s">
        <v>115</v>
      </c>
      <c r="F23" s="17" t="s">
        <v>100</v>
      </c>
      <c r="G23" s="19" t="n">
        <v>3</v>
      </c>
      <c r="H23" s="19" t="n">
        <v>5</v>
      </c>
    </row>
    <row r="24" customFormat="false" ht="15" hidden="false" customHeight="false" outlineLevel="0" collapsed="false">
      <c r="A24" s="20" t="n">
        <v>20</v>
      </c>
      <c r="B24" s="18" t="s">
        <v>461</v>
      </c>
      <c r="C24" s="9" t="s">
        <v>86</v>
      </c>
      <c r="D24" s="18" t="s">
        <v>462</v>
      </c>
      <c r="E24" s="18" t="s">
        <v>463</v>
      </c>
      <c r="F24" s="18" t="s">
        <v>100</v>
      </c>
      <c r="G24" s="20" t="n">
        <v>3</v>
      </c>
      <c r="H24" s="20" t="n">
        <v>4</v>
      </c>
    </row>
    <row r="25" customFormat="false" ht="15" hidden="false" customHeight="false" outlineLevel="0" collapsed="false">
      <c r="A25" s="19" t="n">
        <v>21</v>
      </c>
      <c r="B25" s="17" t="s">
        <v>464</v>
      </c>
      <c r="C25" s="6" t="s">
        <v>408</v>
      </c>
      <c r="D25" s="17" t="s">
        <v>465</v>
      </c>
      <c r="E25" s="17" t="s">
        <v>466</v>
      </c>
      <c r="F25" s="17" t="s">
        <v>100</v>
      </c>
      <c r="G25" s="19" t="n">
        <v>3</v>
      </c>
      <c r="H25" s="19" t="n">
        <v>4</v>
      </c>
    </row>
    <row r="27" customFormat="false" ht="15" hidden="false" customHeight="false" outlineLevel="0" collapsed="false">
      <c r="A27" s="21" t="s">
        <v>266</v>
      </c>
      <c r="B27" s="22" t="n">
        <f aca="false">COUNTA(B5:B25)</f>
        <v>21</v>
      </c>
      <c r="G27" s="22" t="n">
        <f aca="false">AVERAGE(G5:G25)</f>
        <v>3.80952380952381</v>
      </c>
      <c r="H27" s="22" t="n">
        <f aca="false">AVERAGE(H5:H25)</f>
        <v>4.28571428571429</v>
      </c>
    </row>
  </sheetData>
  <mergeCells count="2">
    <mergeCell ref="A1:H1"/>
    <mergeCell ref="A2:H2"/>
  </mergeCells>
  <conditionalFormatting sqref="G5:H2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7" min="5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467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468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6" t="s">
        <v>156</v>
      </c>
      <c r="B4" s="16" t="s">
        <v>469</v>
      </c>
      <c r="C4" s="16" t="s">
        <v>470</v>
      </c>
      <c r="D4" s="16" t="s">
        <v>159</v>
      </c>
      <c r="E4" s="16" t="s">
        <v>471</v>
      </c>
      <c r="F4" s="16" t="s">
        <v>472</v>
      </c>
      <c r="G4" s="16" t="s">
        <v>473</v>
      </c>
      <c r="H4" s="16" t="s">
        <v>40</v>
      </c>
    </row>
    <row r="5" customFormat="false" ht="15" hidden="false" customHeight="false" outlineLevel="0" collapsed="false">
      <c r="A5" s="19" t="n">
        <v>1</v>
      </c>
      <c r="B5" s="17" t="s">
        <v>474</v>
      </c>
      <c r="C5" s="6" t="s">
        <v>475</v>
      </c>
      <c r="D5" s="17" t="s">
        <v>476</v>
      </c>
      <c r="E5" s="19" t="s">
        <v>477</v>
      </c>
      <c r="F5" s="19" t="s">
        <v>477</v>
      </c>
      <c r="G5" s="19" t="s">
        <v>477</v>
      </c>
      <c r="H5" s="17" t="s">
        <v>478</v>
      </c>
    </row>
    <row r="6" customFormat="false" ht="15" hidden="false" customHeight="false" outlineLevel="0" collapsed="false">
      <c r="A6" s="20" t="n">
        <v>2</v>
      </c>
      <c r="B6" s="18" t="s">
        <v>479</v>
      </c>
      <c r="C6" s="9" t="s">
        <v>475</v>
      </c>
      <c r="D6" s="18" t="s">
        <v>480</v>
      </c>
      <c r="E6" s="20" t="s">
        <v>477</v>
      </c>
      <c r="F6" s="20" t="s">
        <v>477</v>
      </c>
      <c r="G6" s="20" t="s">
        <v>477</v>
      </c>
      <c r="H6" s="18" t="s">
        <v>481</v>
      </c>
    </row>
    <row r="7" customFormat="false" ht="15" hidden="false" customHeight="false" outlineLevel="0" collapsed="false">
      <c r="A7" s="19" t="n">
        <v>3</v>
      </c>
      <c r="B7" s="17" t="s">
        <v>482</v>
      </c>
      <c r="C7" s="6" t="s">
        <v>475</v>
      </c>
      <c r="D7" s="17" t="s">
        <v>483</v>
      </c>
      <c r="E7" s="19" t="s">
        <v>477</v>
      </c>
      <c r="F7" s="19" t="s">
        <v>484</v>
      </c>
      <c r="G7" s="19" t="s">
        <v>477</v>
      </c>
      <c r="H7" s="17" t="s">
        <v>100</v>
      </c>
    </row>
    <row r="8" customFormat="false" ht="15" hidden="false" customHeight="false" outlineLevel="0" collapsed="false">
      <c r="A8" s="20" t="n">
        <v>4</v>
      </c>
      <c r="B8" s="18" t="s">
        <v>485</v>
      </c>
      <c r="C8" s="9" t="s">
        <v>475</v>
      </c>
      <c r="D8" s="18" t="s">
        <v>486</v>
      </c>
      <c r="E8" s="20" t="s">
        <v>477</v>
      </c>
      <c r="F8" s="20" t="s">
        <v>484</v>
      </c>
      <c r="G8" s="20" t="s">
        <v>477</v>
      </c>
      <c r="H8" s="18" t="s">
        <v>100</v>
      </c>
    </row>
    <row r="9" customFormat="false" ht="15" hidden="false" customHeight="false" outlineLevel="0" collapsed="false">
      <c r="A9" s="19" t="n">
        <v>5</v>
      </c>
      <c r="B9" s="17" t="s">
        <v>487</v>
      </c>
      <c r="C9" s="6" t="s">
        <v>475</v>
      </c>
      <c r="D9" s="17" t="s">
        <v>488</v>
      </c>
      <c r="E9" s="19" t="s">
        <v>477</v>
      </c>
      <c r="F9" s="19" t="s">
        <v>477</v>
      </c>
      <c r="G9" s="19" t="s">
        <v>477</v>
      </c>
      <c r="H9" s="17" t="s">
        <v>100</v>
      </c>
    </row>
    <row r="10" customFormat="false" ht="15" hidden="false" customHeight="false" outlineLevel="0" collapsed="false">
      <c r="A10" s="20" t="n">
        <v>6</v>
      </c>
      <c r="B10" s="18" t="s">
        <v>489</v>
      </c>
      <c r="C10" s="9" t="s">
        <v>475</v>
      </c>
      <c r="D10" s="18" t="s">
        <v>490</v>
      </c>
      <c r="E10" s="20" t="s">
        <v>477</v>
      </c>
      <c r="F10" s="20" t="s">
        <v>484</v>
      </c>
      <c r="G10" s="20" t="s">
        <v>477</v>
      </c>
      <c r="H10" s="18" t="s">
        <v>491</v>
      </c>
    </row>
    <row r="11" customFormat="false" ht="15" hidden="false" customHeight="false" outlineLevel="0" collapsed="false">
      <c r="A11" s="19" t="n">
        <v>7</v>
      </c>
      <c r="B11" s="17" t="s">
        <v>492</v>
      </c>
      <c r="C11" s="6" t="s">
        <v>493</v>
      </c>
      <c r="D11" s="17" t="s">
        <v>494</v>
      </c>
      <c r="E11" s="19" t="s">
        <v>477</v>
      </c>
      <c r="F11" s="19" t="s">
        <v>477</v>
      </c>
      <c r="G11" s="19" t="s">
        <v>477</v>
      </c>
      <c r="H11" s="17" t="s">
        <v>495</v>
      </c>
    </row>
    <row r="12" customFormat="false" ht="15" hidden="false" customHeight="false" outlineLevel="0" collapsed="false">
      <c r="A12" s="20" t="n">
        <v>8</v>
      </c>
      <c r="B12" s="18" t="s">
        <v>496</v>
      </c>
      <c r="C12" s="9" t="s">
        <v>497</v>
      </c>
      <c r="D12" s="18" t="s">
        <v>498</v>
      </c>
      <c r="E12" s="20" t="s">
        <v>477</v>
      </c>
      <c r="F12" s="20" t="s">
        <v>484</v>
      </c>
      <c r="G12" s="20" t="s">
        <v>499</v>
      </c>
      <c r="H12" s="18" t="s">
        <v>100</v>
      </c>
    </row>
    <row r="13" customFormat="false" ht="15" hidden="false" customHeight="false" outlineLevel="0" collapsed="false">
      <c r="A13" s="19" t="n">
        <v>9</v>
      </c>
      <c r="B13" s="17" t="s">
        <v>500</v>
      </c>
      <c r="C13" s="6" t="s">
        <v>497</v>
      </c>
      <c r="D13" s="17" t="s">
        <v>501</v>
      </c>
      <c r="E13" s="19" t="s">
        <v>477</v>
      </c>
      <c r="F13" s="19" t="s">
        <v>484</v>
      </c>
      <c r="G13" s="19" t="s">
        <v>484</v>
      </c>
      <c r="H13" s="17" t="s">
        <v>100</v>
      </c>
    </row>
    <row r="14" customFormat="false" ht="15" hidden="false" customHeight="false" outlineLevel="0" collapsed="false">
      <c r="A14" s="20" t="n">
        <v>10</v>
      </c>
      <c r="B14" s="18" t="s">
        <v>502</v>
      </c>
      <c r="C14" s="9" t="s">
        <v>497</v>
      </c>
      <c r="D14" s="18" t="s">
        <v>503</v>
      </c>
      <c r="E14" s="20" t="s">
        <v>477</v>
      </c>
      <c r="F14" s="20" t="s">
        <v>477</v>
      </c>
      <c r="G14" s="20" t="s">
        <v>499</v>
      </c>
      <c r="H14" s="18" t="s">
        <v>100</v>
      </c>
    </row>
    <row r="15" customFormat="false" ht="15" hidden="false" customHeight="false" outlineLevel="0" collapsed="false">
      <c r="A15" s="19" t="n">
        <v>11</v>
      </c>
      <c r="B15" s="17" t="s">
        <v>504</v>
      </c>
      <c r="C15" s="6" t="s">
        <v>497</v>
      </c>
      <c r="D15" s="17" t="s">
        <v>505</v>
      </c>
      <c r="E15" s="19" t="s">
        <v>477</v>
      </c>
      <c r="F15" s="19" t="s">
        <v>477</v>
      </c>
      <c r="G15" s="19" t="s">
        <v>499</v>
      </c>
      <c r="H15" s="17" t="s">
        <v>100</v>
      </c>
    </row>
    <row r="16" customFormat="false" ht="15" hidden="false" customHeight="false" outlineLevel="0" collapsed="false">
      <c r="A16" s="20" t="n">
        <v>12</v>
      </c>
      <c r="B16" s="18" t="s">
        <v>506</v>
      </c>
      <c r="C16" s="9" t="s">
        <v>497</v>
      </c>
      <c r="D16" s="18" t="s">
        <v>507</v>
      </c>
      <c r="E16" s="20" t="s">
        <v>477</v>
      </c>
      <c r="F16" s="20" t="s">
        <v>477</v>
      </c>
      <c r="G16" s="20" t="s">
        <v>499</v>
      </c>
      <c r="H16" s="18" t="s">
        <v>508</v>
      </c>
    </row>
    <row r="17" customFormat="false" ht="15" hidden="false" customHeight="false" outlineLevel="0" collapsed="false">
      <c r="A17" s="19" t="n">
        <v>13</v>
      </c>
      <c r="B17" s="17" t="s">
        <v>226</v>
      </c>
      <c r="C17" s="6" t="s">
        <v>497</v>
      </c>
      <c r="D17" s="17" t="s">
        <v>509</v>
      </c>
      <c r="E17" s="19" t="s">
        <v>499</v>
      </c>
      <c r="F17" s="19" t="s">
        <v>477</v>
      </c>
      <c r="G17" s="19" t="s">
        <v>477</v>
      </c>
      <c r="H17" s="17" t="s">
        <v>510</v>
      </c>
    </row>
    <row r="18" customFormat="false" ht="15" hidden="false" customHeight="false" outlineLevel="0" collapsed="false">
      <c r="A18" s="20" t="n">
        <v>14</v>
      </c>
      <c r="B18" s="18" t="s">
        <v>511</v>
      </c>
      <c r="C18" s="9" t="s">
        <v>497</v>
      </c>
      <c r="D18" s="18" t="s">
        <v>512</v>
      </c>
      <c r="E18" s="20" t="s">
        <v>477</v>
      </c>
      <c r="F18" s="20" t="s">
        <v>477</v>
      </c>
      <c r="G18" s="20" t="s">
        <v>477</v>
      </c>
      <c r="H18" s="18" t="s">
        <v>513</v>
      </c>
    </row>
    <row r="19" customFormat="false" ht="15" hidden="false" customHeight="false" outlineLevel="0" collapsed="false">
      <c r="A19" s="19" t="n">
        <v>15</v>
      </c>
      <c r="B19" s="17" t="s">
        <v>514</v>
      </c>
      <c r="C19" s="6" t="s">
        <v>497</v>
      </c>
      <c r="D19" s="17" t="s">
        <v>515</v>
      </c>
      <c r="E19" s="19" t="s">
        <v>477</v>
      </c>
      <c r="F19" s="19" t="s">
        <v>477</v>
      </c>
      <c r="G19" s="19" t="s">
        <v>499</v>
      </c>
      <c r="H19" s="17" t="s">
        <v>516</v>
      </c>
    </row>
    <row r="20" customFormat="false" ht="15" hidden="false" customHeight="false" outlineLevel="0" collapsed="false">
      <c r="A20" s="20" t="n">
        <v>16</v>
      </c>
      <c r="B20" s="18" t="s">
        <v>517</v>
      </c>
      <c r="C20" s="9" t="s">
        <v>497</v>
      </c>
      <c r="D20" s="18" t="s">
        <v>518</v>
      </c>
      <c r="E20" s="20" t="s">
        <v>484</v>
      </c>
      <c r="F20" s="20" t="s">
        <v>484</v>
      </c>
      <c r="G20" s="20" t="s">
        <v>477</v>
      </c>
      <c r="H20" s="18" t="s">
        <v>519</v>
      </c>
    </row>
    <row r="21" customFormat="false" ht="15" hidden="false" customHeight="false" outlineLevel="0" collapsed="false">
      <c r="A21" s="19" t="n">
        <v>17</v>
      </c>
      <c r="B21" s="17" t="s">
        <v>520</v>
      </c>
      <c r="C21" s="6" t="s">
        <v>497</v>
      </c>
      <c r="D21" s="17" t="s">
        <v>521</v>
      </c>
      <c r="E21" s="19" t="s">
        <v>484</v>
      </c>
      <c r="F21" s="19" t="s">
        <v>484</v>
      </c>
      <c r="G21" s="19" t="s">
        <v>477</v>
      </c>
      <c r="H21" s="17" t="s">
        <v>519</v>
      </c>
    </row>
    <row r="22" customFormat="false" ht="15" hidden="false" customHeight="false" outlineLevel="0" collapsed="false">
      <c r="A22" s="20" t="n">
        <v>18</v>
      </c>
      <c r="B22" s="18" t="s">
        <v>522</v>
      </c>
      <c r="C22" s="9" t="s">
        <v>497</v>
      </c>
      <c r="D22" s="18" t="s">
        <v>523</v>
      </c>
      <c r="E22" s="20" t="s">
        <v>499</v>
      </c>
      <c r="F22" s="20" t="s">
        <v>484</v>
      </c>
      <c r="G22" s="20" t="s">
        <v>499</v>
      </c>
      <c r="H22" s="18" t="s">
        <v>100</v>
      </c>
    </row>
    <row r="23" customFormat="false" ht="15" hidden="false" customHeight="false" outlineLevel="0" collapsed="false">
      <c r="A23" s="19" t="n">
        <v>19</v>
      </c>
      <c r="B23" s="17" t="s">
        <v>524</v>
      </c>
      <c r="C23" s="6" t="s">
        <v>497</v>
      </c>
      <c r="D23" s="17" t="s">
        <v>525</v>
      </c>
      <c r="E23" s="19" t="s">
        <v>499</v>
      </c>
      <c r="F23" s="19" t="s">
        <v>477</v>
      </c>
      <c r="G23" s="19" t="s">
        <v>499</v>
      </c>
      <c r="H23" s="17" t="s">
        <v>526</v>
      </c>
    </row>
    <row r="24" customFormat="false" ht="15" hidden="false" customHeight="false" outlineLevel="0" collapsed="false">
      <c r="A24" s="20" t="n">
        <v>20</v>
      </c>
      <c r="B24" s="18" t="s">
        <v>527</v>
      </c>
      <c r="C24" s="9" t="s">
        <v>497</v>
      </c>
      <c r="D24" s="18" t="s">
        <v>528</v>
      </c>
      <c r="E24" s="20" t="s">
        <v>499</v>
      </c>
      <c r="F24" s="20" t="s">
        <v>484</v>
      </c>
      <c r="G24" s="20" t="s">
        <v>477</v>
      </c>
      <c r="H24" s="18" t="s">
        <v>100</v>
      </c>
    </row>
    <row r="25" customFormat="false" ht="15" hidden="false" customHeight="false" outlineLevel="0" collapsed="false">
      <c r="A25" s="19" t="n">
        <v>21</v>
      </c>
      <c r="B25" s="17" t="s">
        <v>529</v>
      </c>
      <c r="C25" s="6" t="s">
        <v>475</v>
      </c>
      <c r="D25" s="17" t="s">
        <v>530</v>
      </c>
      <c r="E25" s="19" t="s">
        <v>484</v>
      </c>
      <c r="F25" s="19" t="s">
        <v>484</v>
      </c>
      <c r="G25" s="19" t="s">
        <v>477</v>
      </c>
      <c r="H25" s="17" t="s">
        <v>100</v>
      </c>
    </row>
    <row r="26" customFormat="false" ht="15" hidden="false" customHeight="false" outlineLevel="0" collapsed="false">
      <c r="A26" s="20" t="n">
        <v>22</v>
      </c>
      <c r="B26" s="18" t="s">
        <v>531</v>
      </c>
      <c r="C26" s="9" t="s">
        <v>497</v>
      </c>
      <c r="D26" s="18" t="s">
        <v>532</v>
      </c>
      <c r="E26" s="20" t="s">
        <v>484</v>
      </c>
      <c r="F26" s="20" t="s">
        <v>484</v>
      </c>
      <c r="G26" s="20" t="s">
        <v>477</v>
      </c>
      <c r="H26" s="18" t="s">
        <v>519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533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534</v>
      </c>
      <c r="B2" s="2"/>
      <c r="C2" s="2"/>
      <c r="D2" s="2"/>
      <c r="E2" s="2"/>
    </row>
    <row r="4" customFormat="false" ht="31.5" hidden="false" customHeight="true" outlineLevel="0" collapsed="false">
      <c r="A4" s="16" t="s">
        <v>535</v>
      </c>
      <c r="B4" s="16" t="s">
        <v>536</v>
      </c>
      <c r="C4" s="16" t="s">
        <v>537</v>
      </c>
      <c r="D4" s="16" t="s">
        <v>538</v>
      </c>
      <c r="E4" s="16" t="s">
        <v>40</v>
      </c>
    </row>
    <row r="5" customFormat="false" ht="23.85" hidden="false" customHeight="false" outlineLevel="0" collapsed="false">
      <c r="A5" s="6" t="s">
        <v>539</v>
      </c>
      <c r="B5" s="17" t="s">
        <v>540</v>
      </c>
      <c r="C5" s="19" t="n">
        <v>4</v>
      </c>
      <c r="D5" s="17" t="s">
        <v>541</v>
      </c>
      <c r="E5" s="17" t="s">
        <v>542</v>
      </c>
    </row>
    <row r="6" customFormat="false" ht="23.85" hidden="false" customHeight="false" outlineLevel="0" collapsed="false">
      <c r="A6" s="9" t="s">
        <v>543</v>
      </c>
      <c r="B6" s="18" t="s">
        <v>544</v>
      </c>
      <c r="C6" s="20" t="n">
        <v>4</v>
      </c>
      <c r="D6" s="18" t="s">
        <v>545</v>
      </c>
      <c r="E6" s="18" t="s">
        <v>546</v>
      </c>
    </row>
    <row r="7" customFormat="false" ht="15" hidden="false" customHeight="false" outlineLevel="0" collapsed="false">
      <c r="A7" s="6" t="s">
        <v>547</v>
      </c>
      <c r="B7" s="17" t="s">
        <v>548</v>
      </c>
      <c r="C7" s="19" t="n">
        <v>4</v>
      </c>
      <c r="D7" s="17" t="s">
        <v>549</v>
      </c>
      <c r="E7" s="17" t="s">
        <v>550</v>
      </c>
    </row>
    <row r="8" customFormat="false" ht="15" hidden="false" customHeight="false" outlineLevel="0" collapsed="false">
      <c r="A8" s="9" t="s">
        <v>551</v>
      </c>
      <c r="B8" s="18" t="s">
        <v>552</v>
      </c>
      <c r="C8" s="20" t="n">
        <v>3</v>
      </c>
      <c r="D8" s="18" t="s">
        <v>254</v>
      </c>
      <c r="E8" s="18" t="s">
        <v>553</v>
      </c>
    </row>
    <row r="9" customFormat="false" ht="15" hidden="false" customHeight="false" outlineLevel="0" collapsed="false">
      <c r="A9" s="6" t="s">
        <v>554</v>
      </c>
      <c r="B9" s="17" t="s">
        <v>555</v>
      </c>
      <c r="C9" s="19" t="n">
        <v>3</v>
      </c>
      <c r="D9" s="17" t="s">
        <v>556</v>
      </c>
      <c r="E9" s="17" t="s">
        <v>557</v>
      </c>
    </row>
    <row r="10" customFormat="false" ht="15" hidden="false" customHeight="false" outlineLevel="0" collapsed="false">
      <c r="A10" s="9" t="s">
        <v>558</v>
      </c>
      <c r="B10" s="18" t="s">
        <v>559</v>
      </c>
      <c r="C10" s="20" t="n">
        <v>4</v>
      </c>
      <c r="D10" s="18" t="s">
        <v>560</v>
      </c>
      <c r="E10" s="18" t="s">
        <v>100</v>
      </c>
    </row>
    <row r="11" customFormat="false" ht="15" hidden="false" customHeight="false" outlineLevel="0" collapsed="false">
      <c r="A11" s="6" t="s">
        <v>561</v>
      </c>
      <c r="B11" s="17" t="s">
        <v>562</v>
      </c>
      <c r="C11" s="19" t="n">
        <v>3</v>
      </c>
      <c r="D11" s="17" t="s">
        <v>563</v>
      </c>
      <c r="E11" s="17" t="s">
        <v>564</v>
      </c>
    </row>
    <row r="12" customFormat="false" ht="15" hidden="false" customHeight="false" outlineLevel="0" collapsed="false">
      <c r="A12" s="9" t="s">
        <v>565</v>
      </c>
      <c r="B12" s="18" t="s">
        <v>566</v>
      </c>
      <c r="C12" s="20" t="n">
        <v>4</v>
      </c>
      <c r="D12" s="18" t="s">
        <v>196</v>
      </c>
      <c r="E12" s="18" t="s">
        <v>567</v>
      </c>
    </row>
    <row r="13" customFormat="false" ht="15" hidden="false" customHeight="false" outlineLevel="0" collapsed="false">
      <c r="A13" s="6" t="s">
        <v>568</v>
      </c>
      <c r="B13" s="17" t="s">
        <v>569</v>
      </c>
      <c r="C13" s="19" t="n">
        <v>4</v>
      </c>
      <c r="D13" s="17" t="s">
        <v>563</v>
      </c>
      <c r="E13" s="17" t="s">
        <v>100</v>
      </c>
    </row>
    <row r="14" customFormat="false" ht="15" hidden="false" customHeight="false" outlineLevel="0" collapsed="false">
      <c r="A14" s="9" t="s">
        <v>570</v>
      </c>
      <c r="B14" s="18" t="s">
        <v>571</v>
      </c>
      <c r="C14" s="20" t="n">
        <v>3</v>
      </c>
      <c r="D14" s="18" t="s">
        <v>572</v>
      </c>
      <c r="E14" s="18" t="s">
        <v>573</v>
      </c>
    </row>
    <row r="15" customFormat="false" ht="15" hidden="false" customHeight="false" outlineLevel="0" collapsed="false">
      <c r="A15" s="6" t="s">
        <v>574</v>
      </c>
      <c r="B15" s="17" t="s">
        <v>575</v>
      </c>
      <c r="C15" s="19" t="n">
        <v>4</v>
      </c>
      <c r="D15" s="17" t="s">
        <v>576</v>
      </c>
      <c r="E15" s="17" t="s">
        <v>100</v>
      </c>
    </row>
    <row r="16" customFormat="false" ht="15" hidden="false" customHeight="false" outlineLevel="0" collapsed="false">
      <c r="A16" s="9" t="s">
        <v>577</v>
      </c>
      <c r="B16" s="18" t="s">
        <v>578</v>
      </c>
      <c r="C16" s="20" t="n">
        <v>3</v>
      </c>
      <c r="D16" s="18" t="s">
        <v>579</v>
      </c>
      <c r="E16" s="18" t="s">
        <v>100</v>
      </c>
    </row>
    <row r="17" customFormat="false" ht="15" hidden="false" customHeight="false" outlineLevel="0" collapsed="false">
      <c r="A17" s="6" t="s">
        <v>580</v>
      </c>
      <c r="B17" s="17" t="s">
        <v>581</v>
      </c>
      <c r="C17" s="19" t="n">
        <v>3</v>
      </c>
      <c r="D17" s="17" t="s">
        <v>582</v>
      </c>
      <c r="E17" s="17" t="s">
        <v>100</v>
      </c>
    </row>
    <row r="19" customFormat="false" ht="15" hidden="false" customHeight="false" outlineLevel="0" collapsed="false">
      <c r="A19" s="23" t="s">
        <v>583</v>
      </c>
      <c r="C19" s="24" t="n">
        <f aca="false">AVERAGE(C5:C17)</f>
        <v>3.53846153846154</v>
      </c>
    </row>
  </sheetData>
  <mergeCells count="2">
    <mergeCell ref="A1:E1"/>
    <mergeCell ref="A2:E2"/>
  </mergeCells>
  <conditionalFormatting sqref="C5:C1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6"/>
  </cols>
  <sheetData>
    <row r="1" customFormat="false" ht="30" hidden="false" customHeight="true" outlineLevel="0" collapsed="false">
      <c r="A1" s="1" t="s">
        <v>584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585</v>
      </c>
      <c r="B2" s="2"/>
      <c r="C2" s="2"/>
      <c r="D2" s="2"/>
      <c r="E2" s="2"/>
    </row>
    <row r="4" customFormat="false" ht="31.5" hidden="false" customHeight="true" outlineLevel="0" collapsed="false">
      <c r="A4" s="16" t="s">
        <v>586</v>
      </c>
      <c r="B4" s="16" t="s">
        <v>587</v>
      </c>
      <c r="C4" s="16" t="s">
        <v>588</v>
      </c>
      <c r="D4" s="16" t="s">
        <v>538</v>
      </c>
      <c r="E4" s="16" t="s">
        <v>589</v>
      </c>
    </row>
    <row r="5" customFormat="false" ht="15" hidden="false" customHeight="false" outlineLevel="0" collapsed="false">
      <c r="A5" s="6" t="s">
        <v>590</v>
      </c>
      <c r="B5" s="17" t="s">
        <v>591</v>
      </c>
      <c r="C5" s="19" t="s">
        <v>592</v>
      </c>
      <c r="D5" s="17" t="s">
        <v>593</v>
      </c>
      <c r="E5" s="17" t="s">
        <v>594</v>
      </c>
    </row>
    <row r="6" customFormat="false" ht="23.85" hidden="false" customHeight="false" outlineLevel="0" collapsed="false">
      <c r="A6" s="9" t="s">
        <v>595</v>
      </c>
      <c r="B6" s="18" t="s">
        <v>596</v>
      </c>
      <c r="C6" s="20" t="s">
        <v>597</v>
      </c>
      <c r="D6" s="18" t="s">
        <v>598</v>
      </c>
      <c r="E6" s="18" t="s">
        <v>599</v>
      </c>
    </row>
    <row r="7" customFormat="false" ht="23.85" hidden="false" customHeight="false" outlineLevel="0" collapsed="false">
      <c r="A7" s="6" t="s">
        <v>600</v>
      </c>
      <c r="B7" s="17" t="s">
        <v>601</v>
      </c>
      <c r="C7" s="19" t="s">
        <v>499</v>
      </c>
      <c r="D7" s="17" t="s">
        <v>602</v>
      </c>
      <c r="E7" s="17" t="s">
        <v>603</v>
      </c>
    </row>
    <row r="8" customFormat="false" ht="23.85" hidden="false" customHeight="false" outlineLevel="0" collapsed="false">
      <c r="A8" s="9" t="s">
        <v>604</v>
      </c>
      <c r="B8" s="18" t="s">
        <v>605</v>
      </c>
      <c r="C8" s="20" t="s">
        <v>606</v>
      </c>
      <c r="D8" s="18" t="s">
        <v>607</v>
      </c>
      <c r="E8" s="18" t="s">
        <v>608</v>
      </c>
    </row>
    <row r="9" customFormat="false" ht="15" hidden="false" customHeight="false" outlineLevel="0" collapsed="false">
      <c r="A9" s="6" t="s">
        <v>609</v>
      </c>
      <c r="B9" s="17" t="s">
        <v>610</v>
      </c>
      <c r="C9" s="19" t="s">
        <v>499</v>
      </c>
      <c r="D9" s="17" t="s">
        <v>611</v>
      </c>
      <c r="E9" s="17" t="s">
        <v>612</v>
      </c>
    </row>
    <row r="10" customFormat="false" ht="15" hidden="false" customHeight="false" outlineLevel="0" collapsed="false">
      <c r="A10" s="9" t="s">
        <v>613</v>
      </c>
      <c r="B10" s="18" t="s">
        <v>614</v>
      </c>
      <c r="C10" s="20" t="s">
        <v>606</v>
      </c>
      <c r="D10" s="18" t="s">
        <v>615</v>
      </c>
      <c r="E10" s="18" t="s">
        <v>616</v>
      </c>
    </row>
    <row r="11" customFormat="false" ht="15" hidden="false" customHeight="false" outlineLevel="0" collapsed="false">
      <c r="A11" s="6" t="s">
        <v>617</v>
      </c>
      <c r="B11" s="17" t="s">
        <v>618</v>
      </c>
      <c r="C11" s="19" t="s">
        <v>499</v>
      </c>
      <c r="D11" s="17" t="s">
        <v>615</v>
      </c>
      <c r="E11" s="17" t="s">
        <v>619</v>
      </c>
    </row>
    <row r="12" customFormat="false" ht="15" hidden="false" customHeight="false" outlineLevel="0" collapsed="false">
      <c r="A12" s="9" t="s">
        <v>620</v>
      </c>
      <c r="B12" s="18" t="s">
        <v>621</v>
      </c>
      <c r="C12" s="20" t="s">
        <v>499</v>
      </c>
      <c r="D12" s="18" t="s">
        <v>622</v>
      </c>
      <c r="E12" s="18" t="s">
        <v>623</v>
      </c>
    </row>
    <row r="13" customFormat="false" ht="15" hidden="false" customHeight="false" outlineLevel="0" collapsed="false">
      <c r="A13" s="6" t="s">
        <v>624</v>
      </c>
      <c r="B13" s="17" t="s">
        <v>625</v>
      </c>
      <c r="C13" s="19" t="s">
        <v>499</v>
      </c>
      <c r="D13" s="17" t="s">
        <v>622</v>
      </c>
      <c r="E13" s="17" t="s">
        <v>626</v>
      </c>
    </row>
    <row r="14" customFormat="false" ht="15" hidden="false" customHeight="false" outlineLevel="0" collapsed="false">
      <c r="A14" s="9" t="s">
        <v>627</v>
      </c>
      <c r="B14" s="18" t="s">
        <v>628</v>
      </c>
      <c r="C14" s="20" t="s">
        <v>629</v>
      </c>
      <c r="D14" s="18" t="s">
        <v>630</v>
      </c>
      <c r="E14" s="18" t="s">
        <v>631</v>
      </c>
    </row>
    <row r="15" customFormat="false" ht="15" hidden="false" customHeight="false" outlineLevel="0" collapsed="false">
      <c r="A15" s="6" t="s">
        <v>632</v>
      </c>
      <c r="B15" s="17" t="s">
        <v>633</v>
      </c>
      <c r="C15" s="19" t="s">
        <v>606</v>
      </c>
      <c r="D15" s="17" t="s">
        <v>615</v>
      </c>
      <c r="E15" s="17" t="s">
        <v>634</v>
      </c>
    </row>
    <row r="16" customFormat="false" ht="15" hidden="false" customHeight="false" outlineLevel="0" collapsed="false">
      <c r="A16" s="9" t="s">
        <v>635</v>
      </c>
      <c r="B16" s="18" t="s">
        <v>636</v>
      </c>
      <c r="C16" s="20" t="s">
        <v>637</v>
      </c>
      <c r="D16" s="18" t="s">
        <v>100</v>
      </c>
      <c r="E16" s="18" t="s">
        <v>638</v>
      </c>
    </row>
    <row r="17" customFormat="false" ht="15" hidden="false" customHeight="false" outlineLevel="0" collapsed="false">
      <c r="A17" s="6" t="s">
        <v>639</v>
      </c>
      <c r="B17" s="17" t="s">
        <v>640</v>
      </c>
      <c r="C17" s="19" t="s">
        <v>629</v>
      </c>
      <c r="D17" s="17" t="s">
        <v>622</v>
      </c>
      <c r="E17" s="17" t="s">
        <v>641</v>
      </c>
    </row>
    <row r="18" customFormat="false" ht="15" hidden="false" customHeight="false" outlineLevel="0" collapsed="false">
      <c r="A18" s="9" t="s">
        <v>642</v>
      </c>
      <c r="B18" s="18" t="s">
        <v>643</v>
      </c>
      <c r="C18" s="20" t="s">
        <v>644</v>
      </c>
      <c r="D18" s="18" t="s">
        <v>560</v>
      </c>
      <c r="E18" s="18" t="s">
        <v>100</v>
      </c>
    </row>
    <row r="19" customFormat="false" ht="15" hidden="false" customHeight="false" outlineLevel="0" collapsed="false">
      <c r="A19" s="6" t="s">
        <v>645</v>
      </c>
      <c r="B19" s="17" t="s">
        <v>646</v>
      </c>
      <c r="C19" s="19" t="s">
        <v>629</v>
      </c>
      <c r="D19" s="17" t="s">
        <v>647</v>
      </c>
      <c r="E19" s="17" t="s">
        <v>648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649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650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6" t="s">
        <v>651</v>
      </c>
      <c r="B4" s="16" t="s">
        <v>652</v>
      </c>
      <c r="C4" s="16" t="s">
        <v>653</v>
      </c>
      <c r="D4" s="16" t="s">
        <v>654</v>
      </c>
      <c r="E4" s="16" t="s">
        <v>655</v>
      </c>
      <c r="F4" s="16" t="s">
        <v>656</v>
      </c>
      <c r="G4" s="16" t="s">
        <v>40</v>
      </c>
    </row>
    <row r="5" customFormat="false" ht="15" hidden="false" customHeight="false" outlineLevel="0" collapsed="false">
      <c r="A5" s="6" t="s">
        <v>657</v>
      </c>
      <c r="B5" s="6" t="s">
        <v>658</v>
      </c>
      <c r="C5" s="17" t="s">
        <v>659</v>
      </c>
      <c r="D5" s="17" t="s">
        <v>660</v>
      </c>
      <c r="E5" s="19" t="n">
        <v>5</v>
      </c>
      <c r="F5" s="6" t="s">
        <v>661</v>
      </c>
      <c r="G5" s="17" t="s">
        <v>662</v>
      </c>
    </row>
    <row r="6" customFormat="false" ht="23.85" hidden="false" customHeight="false" outlineLevel="0" collapsed="false">
      <c r="A6" s="9" t="s">
        <v>663</v>
      </c>
      <c r="B6" s="9" t="s">
        <v>658</v>
      </c>
      <c r="C6" s="18" t="s">
        <v>664</v>
      </c>
      <c r="D6" s="18" t="s">
        <v>665</v>
      </c>
      <c r="E6" s="20" t="n">
        <v>5</v>
      </c>
      <c r="F6" s="9" t="s">
        <v>661</v>
      </c>
      <c r="G6" s="18" t="s">
        <v>666</v>
      </c>
    </row>
    <row r="7" customFormat="false" ht="15" hidden="false" customHeight="false" outlineLevel="0" collapsed="false">
      <c r="A7" s="6" t="s">
        <v>667</v>
      </c>
      <c r="B7" s="6" t="s">
        <v>668</v>
      </c>
      <c r="C7" s="17" t="s">
        <v>669</v>
      </c>
      <c r="D7" s="17" t="s">
        <v>670</v>
      </c>
      <c r="E7" s="19" t="n">
        <v>4</v>
      </c>
      <c r="F7" s="6" t="s">
        <v>671</v>
      </c>
      <c r="G7" s="17" t="s">
        <v>672</v>
      </c>
    </row>
    <row r="8" customFormat="false" ht="15" hidden="false" customHeight="false" outlineLevel="0" collapsed="false">
      <c r="A8" s="9" t="s">
        <v>673</v>
      </c>
      <c r="B8" s="9" t="s">
        <v>127</v>
      </c>
      <c r="C8" s="18" t="s">
        <v>674</v>
      </c>
      <c r="D8" s="18" t="s">
        <v>675</v>
      </c>
      <c r="E8" s="20" t="n">
        <v>4</v>
      </c>
      <c r="F8" s="9" t="s">
        <v>676</v>
      </c>
      <c r="G8" s="18" t="s">
        <v>677</v>
      </c>
    </row>
    <row r="9" customFormat="false" ht="15" hidden="false" customHeight="false" outlineLevel="0" collapsed="false">
      <c r="A9" s="6" t="s">
        <v>678</v>
      </c>
      <c r="B9" s="6" t="s">
        <v>679</v>
      </c>
      <c r="C9" s="17" t="s">
        <v>680</v>
      </c>
      <c r="D9" s="17" t="s">
        <v>499</v>
      </c>
      <c r="E9" s="19" t="n">
        <v>3</v>
      </c>
      <c r="F9" s="6" t="s">
        <v>671</v>
      </c>
      <c r="G9" s="17" t="s">
        <v>681</v>
      </c>
    </row>
    <row r="10" customFormat="false" ht="15" hidden="false" customHeight="false" outlineLevel="0" collapsed="false">
      <c r="A10" s="9" t="s">
        <v>682</v>
      </c>
      <c r="B10" s="9" t="s">
        <v>127</v>
      </c>
      <c r="C10" s="18" t="s">
        <v>683</v>
      </c>
      <c r="D10" s="18" t="s">
        <v>675</v>
      </c>
      <c r="E10" s="20" t="n">
        <v>4</v>
      </c>
      <c r="F10" s="9" t="s">
        <v>661</v>
      </c>
      <c r="G10" s="18" t="s">
        <v>684</v>
      </c>
    </row>
    <row r="11" customFormat="false" ht="15" hidden="false" customHeight="false" outlineLevel="0" collapsed="false">
      <c r="A11" s="6" t="s">
        <v>685</v>
      </c>
      <c r="B11" s="6" t="s">
        <v>686</v>
      </c>
      <c r="C11" s="17" t="s">
        <v>687</v>
      </c>
      <c r="D11" s="17" t="s">
        <v>688</v>
      </c>
      <c r="E11" s="19" t="n">
        <v>2</v>
      </c>
      <c r="F11" s="6" t="s">
        <v>661</v>
      </c>
      <c r="G11" s="17" t="s">
        <v>689</v>
      </c>
    </row>
    <row r="12" customFormat="false" ht="15" hidden="false" customHeight="false" outlineLevel="0" collapsed="false">
      <c r="A12" s="9" t="s">
        <v>690</v>
      </c>
      <c r="B12" s="9" t="s">
        <v>668</v>
      </c>
      <c r="C12" s="18" t="s">
        <v>691</v>
      </c>
      <c r="D12" s="18" t="s">
        <v>692</v>
      </c>
      <c r="E12" s="20" t="n">
        <v>2</v>
      </c>
      <c r="F12" s="9" t="s">
        <v>661</v>
      </c>
      <c r="G12" s="18" t="s">
        <v>100</v>
      </c>
    </row>
    <row r="13" customFormat="false" ht="15" hidden="false" customHeight="false" outlineLevel="0" collapsed="false">
      <c r="A13" s="6" t="s">
        <v>291</v>
      </c>
      <c r="B13" s="6" t="s">
        <v>135</v>
      </c>
      <c r="C13" s="17" t="s">
        <v>693</v>
      </c>
      <c r="D13" s="17" t="s">
        <v>694</v>
      </c>
      <c r="E13" s="19" t="n">
        <v>5</v>
      </c>
      <c r="F13" s="6" t="s">
        <v>695</v>
      </c>
      <c r="G13" s="17" t="s">
        <v>696</v>
      </c>
    </row>
    <row r="14" customFormat="false" ht="15" hidden="false" customHeight="false" outlineLevel="0" collapsed="false">
      <c r="A14" s="9" t="s">
        <v>196</v>
      </c>
      <c r="B14" s="9" t="s">
        <v>697</v>
      </c>
      <c r="C14" s="18" t="s">
        <v>698</v>
      </c>
      <c r="D14" s="18" t="s">
        <v>699</v>
      </c>
      <c r="E14" s="20" t="n">
        <v>4</v>
      </c>
      <c r="F14" s="9" t="s">
        <v>700</v>
      </c>
      <c r="G14" s="18" t="s">
        <v>567</v>
      </c>
    </row>
    <row r="15" customFormat="false" ht="15" hidden="false" customHeight="false" outlineLevel="0" collapsed="false">
      <c r="A15" s="6" t="s">
        <v>701</v>
      </c>
      <c r="B15" s="6" t="s">
        <v>697</v>
      </c>
      <c r="C15" s="17" t="s">
        <v>702</v>
      </c>
      <c r="D15" s="17" t="s">
        <v>703</v>
      </c>
      <c r="E15" s="19" t="n">
        <v>4</v>
      </c>
      <c r="F15" s="6" t="s">
        <v>704</v>
      </c>
      <c r="G15" s="17" t="s">
        <v>100</v>
      </c>
    </row>
    <row r="16" customFormat="false" ht="15" hidden="false" customHeight="false" outlineLevel="0" collapsed="false">
      <c r="A16" s="9" t="s">
        <v>246</v>
      </c>
      <c r="B16" s="9" t="s">
        <v>705</v>
      </c>
      <c r="C16" s="18" t="s">
        <v>706</v>
      </c>
      <c r="D16" s="18" t="s">
        <v>707</v>
      </c>
      <c r="E16" s="20" t="n">
        <v>4</v>
      </c>
      <c r="F16" s="9" t="s">
        <v>708</v>
      </c>
      <c r="G16" s="18" t="s">
        <v>709</v>
      </c>
    </row>
    <row r="17" customFormat="false" ht="15" hidden="false" customHeight="false" outlineLevel="0" collapsed="false">
      <c r="A17" s="6" t="s">
        <v>710</v>
      </c>
      <c r="B17" s="6" t="s">
        <v>711</v>
      </c>
      <c r="C17" s="17" t="s">
        <v>712</v>
      </c>
      <c r="D17" s="17" t="s">
        <v>713</v>
      </c>
      <c r="E17" s="19" t="n">
        <v>3</v>
      </c>
      <c r="F17" s="6" t="s">
        <v>714</v>
      </c>
      <c r="G17" s="17" t="s">
        <v>715</v>
      </c>
    </row>
    <row r="18" customFormat="false" ht="15" hidden="false" customHeight="false" outlineLevel="0" collapsed="false">
      <c r="A18" s="9" t="s">
        <v>716</v>
      </c>
      <c r="B18" s="9" t="s">
        <v>717</v>
      </c>
      <c r="C18" s="18" t="s">
        <v>718</v>
      </c>
      <c r="D18" s="18" t="s">
        <v>719</v>
      </c>
      <c r="E18" s="20" t="n">
        <v>3</v>
      </c>
      <c r="F18" s="9" t="s">
        <v>720</v>
      </c>
      <c r="G18" s="18" t="s">
        <v>721</v>
      </c>
    </row>
    <row r="19" customFormat="false" ht="15" hidden="false" customHeight="false" outlineLevel="0" collapsed="false">
      <c r="A19" s="6" t="s">
        <v>722</v>
      </c>
      <c r="B19" s="6" t="s">
        <v>723</v>
      </c>
      <c r="C19" s="17" t="s">
        <v>724</v>
      </c>
      <c r="D19" s="17" t="s">
        <v>725</v>
      </c>
      <c r="E19" s="19" t="n">
        <v>3</v>
      </c>
      <c r="F19" s="6" t="s">
        <v>726</v>
      </c>
      <c r="G19" s="17" t="s">
        <v>727</v>
      </c>
    </row>
    <row r="20" customFormat="false" ht="15" hidden="false" customHeight="false" outlineLevel="0" collapsed="false">
      <c r="A20" s="9" t="s">
        <v>728</v>
      </c>
      <c r="B20" s="9" t="s">
        <v>729</v>
      </c>
      <c r="C20" s="18" t="s">
        <v>730</v>
      </c>
      <c r="D20" s="18" t="s">
        <v>675</v>
      </c>
      <c r="E20" s="20" t="n">
        <v>5</v>
      </c>
      <c r="F20" s="9" t="s">
        <v>731</v>
      </c>
      <c r="G20" s="18" t="s">
        <v>170</v>
      </c>
    </row>
    <row r="21" customFormat="false" ht="15" hidden="false" customHeight="false" outlineLevel="0" collapsed="false">
      <c r="A21" s="6" t="s">
        <v>732</v>
      </c>
      <c r="B21" s="6" t="s">
        <v>729</v>
      </c>
      <c r="C21" s="17" t="s">
        <v>733</v>
      </c>
      <c r="D21" s="17" t="s">
        <v>675</v>
      </c>
      <c r="E21" s="19" t="n">
        <v>5</v>
      </c>
      <c r="F21" s="6" t="s">
        <v>734</v>
      </c>
      <c r="G21" s="17" t="s">
        <v>100</v>
      </c>
    </row>
    <row r="22" customFormat="false" ht="15" hidden="false" customHeight="false" outlineLevel="0" collapsed="false">
      <c r="A22" s="9" t="s">
        <v>735</v>
      </c>
      <c r="B22" s="9" t="s">
        <v>736</v>
      </c>
      <c r="C22" s="18" t="s">
        <v>737</v>
      </c>
      <c r="D22" s="18" t="s">
        <v>499</v>
      </c>
      <c r="E22" s="20" t="n">
        <v>3</v>
      </c>
      <c r="F22" s="9" t="s">
        <v>738</v>
      </c>
      <c r="G22" s="18" t="s">
        <v>739</v>
      </c>
    </row>
    <row r="23" customFormat="false" ht="15" hidden="false" customHeight="false" outlineLevel="0" collapsed="false">
      <c r="A23" s="6" t="s">
        <v>740</v>
      </c>
      <c r="B23" s="6" t="s">
        <v>741</v>
      </c>
      <c r="C23" s="17" t="s">
        <v>742</v>
      </c>
      <c r="D23" s="17" t="s">
        <v>743</v>
      </c>
      <c r="E23" s="19"/>
      <c r="F23" s="6" t="s">
        <v>744</v>
      </c>
      <c r="G23" s="17" t="s">
        <v>745</v>
      </c>
    </row>
    <row r="24" customFormat="false" ht="15" hidden="false" customHeight="false" outlineLevel="0" collapsed="false">
      <c r="A24" s="9" t="s">
        <v>746</v>
      </c>
      <c r="B24" s="9" t="s">
        <v>741</v>
      </c>
      <c r="C24" s="18" t="s">
        <v>747</v>
      </c>
      <c r="D24" s="18" t="s">
        <v>743</v>
      </c>
      <c r="E24" s="20"/>
      <c r="F24" s="9" t="s">
        <v>748</v>
      </c>
      <c r="G24" s="18" t="s">
        <v>100</v>
      </c>
    </row>
    <row r="25" customFormat="false" ht="15" hidden="false" customHeight="false" outlineLevel="0" collapsed="false">
      <c r="A25" s="6" t="s">
        <v>749</v>
      </c>
      <c r="B25" s="6" t="s">
        <v>750</v>
      </c>
      <c r="C25" s="17" t="s">
        <v>751</v>
      </c>
      <c r="D25" s="17" t="s">
        <v>752</v>
      </c>
      <c r="E25" s="19"/>
      <c r="F25" s="6" t="s">
        <v>100</v>
      </c>
      <c r="G25" s="17" t="s">
        <v>753</v>
      </c>
    </row>
    <row r="26" customFormat="false" ht="15" hidden="false" customHeight="false" outlineLevel="0" collapsed="false">
      <c r="A26" s="9" t="s">
        <v>754</v>
      </c>
      <c r="B26" s="9" t="s">
        <v>750</v>
      </c>
      <c r="C26" s="18" t="s">
        <v>755</v>
      </c>
      <c r="D26" s="18" t="s">
        <v>752</v>
      </c>
      <c r="E26" s="20"/>
      <c r="F26" s="9" t="s">
        <v>756</v>
      </c>
      <c r="G26" s="18" t="s">
        <v>100</v>
      </c>
    </row>
    <row r="27" customFormat="false" ht="15" hidden="false" customHeight="false" outlineLevel="0" collapsed="false">
      <c r="A27" s="6" t="s">
        <v>254</v>
      </c>
      <c r="B27" s="6" t="s">
        <v>757</v>
      </c>
      <c r="C27" s="17" t="s">
        <v>758</v>
      </c>
      <c r="D27" s="17" t="s">
        <v>675</v>
      </c>
      <c r="E27" s="19" t="n">
        <v>5</v>
      </c>
      <c r="F27" s="6" t="s">
        <v>759</v>
      </c>
      <c r="G27" s="17" t="s">
        <v>760</v>
      </c>
    </row>
  </sheetData>
  <mergeCells count="2">
    <mergeCell ref="A1:G1"/>
    <mergeCell ref="A2:G2"/>
  </mergeCells>
  <conditionalFormatting sqref="E5:E2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761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762</v>
      </c>
      <c r="B2" s="2"/>
      <c r="C2" s="2"/>
      <c r="D2" s="2"/>
      <c r="E2" s="2"/>
    </row>
    <row r="4" customFormat="false" ht="31.5" hidden="false" customHeight="true" outlineLevel="0" collapsed="false">
      <c r="A4" s="16" t="s">
        <v>763</v>
      </c>
      <c r="B4" s="16" t="s">
        <v>764</v>
      </c>
      <c r="C4" s="16" t="s">
        <v>765</v>
      </c>
      <c r="D4" s="16" t="s">
        <v>766</v>
      </c>
      <c r="E4" s="16" t="s">
        <v>767</v>
      </c>
    </row>
    <row r="5" customFormat="false" ht="15" hidden="false" customHeight="false" outlineLevel="0" collapsed="false">
      <c r="A5" s="17" t="s">
        <v>768</v>
      </c>
      <c r="B5" s="25" t="n">
        <v>0.15</v>
      </c>
      <c r="C5" s="19" t="n">
        <v>5</v>
      </c>
      <c r="D5" s="26" t="n">
        <f aca="false">B5*C5</f>
        <v>0.75</v>
      </c>
      <c r="E5" s="17" t="s">
        <v>769</v>
      </c>
    </row>
    <row r="6" customFormat="false" ht="15" hidden="false" customHeight="false" outlineLevel="0" collapsed="false">
      <c r="A6" s="18" t="s">
        <v>770</v>
      </c>
      <c r="B6" s="27" t="n">
        <v>0.13</v>
      </c>
      <c r="C6" s="20" t="n">
        <v>4.5</v>
      </c>
      <c r="D6" s="28" t="n">
        <f aca="false">B6*C6</f>
        <v>0.585</v>
      </c>
      <c r="E6" s="18" t="s">
        <v>771</v>
      </c>
    </row>
    <row r="7" customFormat="false" ht="15" hidden="false" customHeight="false" outlineLevel="0" collapsed="false">
      <c r="A7" s="17" t="s">
        <v>772</v>
      </c>
      <c r="B7" s="25" t="n">
        <v>0.12</v>
      </c>
      <c r="C7" s="19" t="n">
        <v>3.5</v>
      </c>
      <c r="D7" s="26" t="n">
        <f aca="false">B7*C7</f>
        <v>0.42</v>
      </c>
      <c r="E7" s="17" t="s">
        <v>773</v>
      </c>
    </row>
    <row r="8" customFormat="false" ht="15" hidden="false" customHeight="false" outlineLevel="0" collapsed="false">
      <c r="A8" s="18" t="s">
        <v>774</v>
      </c>
      <c r="B8" s="27" t="n">
        <v>0.1</v>
      </c>
      <c r="C8" s="20" t="n">
        <v>4</v>
      </c>
      <c r="D8" s="28" t="n">
        <f aca="false">B8*C8</f>
        <v>0.4</v>
      </c>
      <c r="E8" s="18" t="s">
        <v>775</v>
      </c>
    </row>
    <row r="9" customFormat="false" ht="15" hidden="false" customHeight="false" outlineLevel="0" collapsed="false">
      <c r="A9" s="17" t="s">
        <v>776</v>
      </c>
      <c r="B9" s="25" t="n">
        <v>0.1</v>
      </c>
      <c r="C9" s="19" t="n">
        <v>4</v>
      </c>
      <c r="D9" s="26" t="n">
        <f aca="false">B9*C9</f>
        <v>0.4</v>
      </c>
      <c r="E9" s="17" t="s">
        <v>777</v>
      </c>
    </row>
    <row r="10" customFormat="false" ht="15" hidden="false" customHeight="false" outlineLevel="0" collapsed="false">
      <c r="A10" s="18" t="s">
        <v>778</v>
      </c>
      <c r="B10" s="27" t="n">
        <v>0.1</v>
      </c>
      <c r="C10" s="20" t="n">
        <v>4</v>
      </c>
      <c r="D10" s="28" t="n">
        <f aca="false">B10*C10</f>
        <v>0.4</v>
      </c>
      <c r="E10" s="18" t="s">
        <v>779</v>
      </c>
    </row>
    <row r="11" customFormat="false" ht="15" hidden="false" customHeight="false" outlineLevel="0" collapsed="false">
      <c r="A11" s="17" t="s">
        <v>780</v>
      </c>
      <c r="B11" s="25" t="n">
        <v>0.1</v>
      </c>
      <c r="C11" s="19" t="n">
        <v>2.5</v>
      </c>
      <c r="D11" s="26" t="n">
        <f aca="false">B11*C11</f>
        <v>0.25</v>
      </c>
      <c r="E11" s="17" t="s">
        <v>781</v>
      </c>
    </row>
    <row r="12" customFormat="false" ht="15" hidden="false" customHeight="false" outlineLevel="0" collapsed="false">
      <c r="A12" s="18" t="s">
        <v>782</v>
      </c>
      <c r="B12" s="27" t="n">
        <v>0.08</v>
      </c>
      <c r="C12" s="20" t="n">
        <v>4</v>
      </c>
      <c r="D12" s="28" t="n">
        <f aca="false">B12*C12</f>
        <v>0.32</v>
      </c>
      <c r="E12" s="18" t="s">
        <v>783</v>
      </c>
    </row>
    <row r="13" customFormat="false" ht="15" hidden="false" customHeight="false" outlineLevel="0" collapsed="false">
      <c r="A13" s="17" t="s">
        <v>784</v>
      </c>
      <c r="B13" s="25" t="n">
        <v>0.07</v>
      </c>
      <c r="C13" s="19" t="n">
        <v>3.5</v>
      </c>
      <c r="D13" s="26" t="n">
        <f aca="false">B13*C13</f>
        <v>0.245</v>
      </c>
      <c r="E13" s="17" t="s">
        <v>785</v>
      </c>
    </row>
    <row r="14" customFormat="false" ht="15" hidden="false" customHeight="false" outlineLevel="0" collapsed="false">
      <c r="A14" s="18" t="s">
        <v>786</v>
      </c>
      <c r="B14" s="27" t="n">
        <v>0.05</v>
      </c>
      <c r="C14" s="20" t="n">
        <v>4.5</v>
      </c>
      <c r="D14" s="28" t="n">
        <f aca="false">B14*C14</f>
        <v>0.225</v>
      </c>
      <c r="E14" s="18" t="s">
        <v>787</v>
      </c>
    </row>
    <row r="16" customFormat="false" ht="15" hidden="false" customHeight="false" outlineLevel="0" collapsed="false">
      <c r="A16" s="29" t="s">
        <v>788</v>
      </c>
      <c r="B16" s="30" t="n">
        <f aca="false">SUM(B5:B14)</f>
        <v>1</v>
      </c>
      <c r="C16" s="31"/>
      <c r="D16" s="31"/>
      <c r="E16" s="31"/>
    </row>
    <row r="17" customFormat="false" ht="15" hidden="false" customHeight="false" outlineLevel="0" collapsed="false">
      <c r="A17" s="32" t="s">
        <v>789</v>
      </c>
      <c r="B17" s="31"/>
      <c r="C17" s="31"/>
      <c r="D17" s="33" t="n">
        <f aca="false">SUM(D5:D14)</f>
        <v>3.995</v>
      </c>
      <c r="E17" s="31"/>
    </row>
    <row r="18" customFormat="false" ht="15" hidden="false" customHeight="false" outlineLevel="0" collapsed="false">
      <c r="A18" s="34" t="s">
        <v>790</v>
      </c>
      <c r="B18" s="31"/>
      <c r="C18" s="31"/>
      <c r="D18" s="35" t="n">
        <f aca="false">D17/5</f>
        <v>0.799</v>
      </c>
      <c r="E18" s="31"/>
    </row>
  </sheetData>
  <mergeCells count="2">
    <mergeCell ref="A1:E1"/>
    <mergeCell ref="A2:E2"/>
  </mergeCells>
  <conditionalFormatting sqref="C5:C1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2026-06-15T03:03:24Z</dcterms:created>
  <dc:creator>openpyxl</dc:creator>
  <dc:description/>
  <dc:language>en-US</dc:language>
  <cp:lastModifiedBy/>
  <dcterms:modified xsi:type="dcterms:W3CDTF">2026-06-15T03:03:24Z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